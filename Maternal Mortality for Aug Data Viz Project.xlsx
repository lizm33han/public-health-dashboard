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.LAPTOP-JO2S0HUL\Desktop\Visualization Data Sources\"/>
    </mc:Choice>
  </mc:AlternateContent>
  <xr:revisionPtr revIDLastSave="0" documentId="8_{946A462B-46CA-4D6A-9744-3FBC2D73D1C6}" xr6:coauthVersionLast="47" xr6:coauthVersionMax="47" xr10:uidLastSave="{00000000-0000-0000-0000-000000000000}"/>
  <bookViews>
    <workbookView xWindow="-120" yWindow="-120" windowWidth="20730" windowHeight="11160" xr2:uid="{B5E7810E-14A0-493B-BB03-8007E5766E55}"/>
  </bookViews>
  <sheets>
    <sheet name="Maternal Mortality for Aug Data" sheetId="1" r:id="rId1"/>
    <sheet name="Maternal Deaths 2018-2023" sheetId="3" r:id="rId2"/>
    <sheet name="Births 2018-2023" sheetId="2" r:id="rId3"/>
    <sheet name="Land Area" sheetId="4" r:id="rId4"/>
  </sheets>
  <definedNames>
    <definedName name="_xlnm._FilterDatabase" localSheetId="1" hidden="1">'Maternal Deaths 2018-2023'!$A$1:$G$307</definedName>
    <definedName name="_xlnm._FilterDatabase" localSheetId="0" hidden="1">'Maternal Mortality for Aug Data'!$A$1:$M$307</definedName>
  </definedNames>
  <calcPr calcId="191029"/>
  <fileRecoveryPr repairLoad="1"/>
</workbook>
</file>

<file path=xl/calcChain.xml><?xml version="1.0" encoding="utf-8"?>
<calcChain xmlns="http://schemas.openxmlformats.org/spreadsheetml/2006/main">
  <c r="I2" i="1" l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2" i="1"/>
  <c r="K2" i="1" s="1"/>
  <c r="I145" i="1"/>
  <c r="I3" i="1"/>
  <c r="I4" i="1"/>
  <c r="I5" i="1"/>
  <c r="I6" i="1"/>
  <c r="I7" i="1"/>
  <c r="I10" i="1"/>
  <c r="I14" i="1"/>
  <c r="I15" i="1"/>
  <c r="I16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3" i="1"/>
  <c r="I34" i="1"/>
  <c r="I35" i="1"/>
  <c r="I36" i="1"/>
  <c r="I45" i="1"/>
  <c r="I49" i="1"/>
  <c r="I56" i="1"/>
  <c r="I57" i="1"/>
  <c r="I58" i="1"/>
  <c r="I59" i="1"/>
  <c r="I60" i="1"/>
  <c r="I61" i="1"/>
  <c r="I62" i="1"/>
  <c r="I63" i="1"/>
  <c r="I64" i="1"/>
  <c r="I65" i="1"/>
  <c r="I66" i="1"/>
  <c r="I67" i="1"/>
  <c r="I80" i="1"/>
  <c r="I81" i="1"/>
  <c r="I82" i="1"/>
  <c r="I83" i="1"/>
  <c r="I84" i="1"/>
  <c r="I85" i="1"/>
  <c r="I86" i="1"/>
  <c r="I87" i="1"/>
  <c r="I88" i="1"/>
  <c r="I89" i="1"/>
  <c r="I90" i="1"/>
  <c r="I91" i="1"/>
  <c r="I95" i="1"/>
  <c r="I100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22" i="1"/>
  <c r="I123" i="1"/>
  <c r="I124" i="1"/>
  <c r="I125" i="1"/>
  <c r="I126" i="1"/>
  <c r="I128" i="1"/>
  <c r="I130" i="1"/>
  <c r="I131" i="1"/>
  <c r="I132" i="1"/>
  <c r="I134" i="1"/>
  <c r="I135" i="1"/>
  <c r="I136" i="1"/>
  <c r="I137" i="1"/>
  <c r="I138" i="1"/>
  <c r="I139" i="1"/>
  <c r="I143" i="1"/>
  <c r="I147" i="1"/>
  <c r="I148" i="1"/>
  <c r="I149" i="1"/>
  <c r="I152" i="1"/>
  <c r="I153" i="1"/>
  <c r="I154" i="1"/>
  <c r="I155" i="1"/>
  <c r="I156" i="1"/>
  <c r="I157" i="1"/>
  <c r="I173" i="1"/>
  <c r="I176" i="1"/>
  <c r="I177" i="1"/>
  <c r="I182" i="1"/>
  <c r="I183" i="1"/>
  <c r="I184" i="1"/>
  <c r="I185" i="1"/>
  <c r="I186" i="1"/>
  <c r="I187" i="1"/>
  <c r="I191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12" i="1"/>
  <c r="I213" i="1"/>
  <c r="I214" i="1"/>
  <c r="I215" i="1"/>
  <c r="I216" i="1"/>
  <c r="I217" i="1"/>
  <c r="I218" i="1"/>
  <c r="I219" i="1"/>
  <c r="I220" i="1"/>
  <c r="I221" i="1"/>
  <c r="I222" i="1"/>
  <c r="I226" i="1"/>
  <c r="I230" i="1"/>
  <c r="I231" i="1"/>
  <c r="I232" i="1"/>
  <c r="I233" i="1"/>
  <c r="I234" i="1"/>
  <c r="I235" i="1"/>
  <c r="I242" i="1"/>
  <c r="I243" i="1"/>
  <c r="I244" i="1"/>
  <c r="I245" i="1"/>
  <c r="I246" i="1"/>
  <c r="I247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7" i="1"/>
  <c r="I269" i="1"/>
  <c r="I272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99" i="1"/>
  <c r="I300" i="1"/>
  <c r="I301" i="1"/>
</calcChain>
</file>

<file path=xl/sharedStrings.xml><?xml version="1.0" encoding="utf-8"?>
<sst xmlns="http://schemas.openxmlformats.org/spreadsheetml/2006/main" count="1429" uniqueCount="80">
  <si>
    <t>Residence State</t>
  </si>
  <si>
    <t>FIPS Code</t>
  </si>
  <si>
    <t>Year</t>
  </si>
  <si>
    <t>Population</t>
  </si>
  <si>
    <t>Alabama</t>
  </si>
  <si>
    <t>Yes</t>
  </si>
  <si>
    <t>Alaska</t>
  </si>
  <si>
    <t>Suppressed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</si>
  <si>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</si>
  <si>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</si>
  <si>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</si>
  <si>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</si>
  <si>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</si>
  <si>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</si>
  <si>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</si>
  <si>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</si>
  <si>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</si>
  <si>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</si>
  <si>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</si>
  <si>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</si>
  <si>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</si>
  <si>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</si>
  <si>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</si>
  <si>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</si>
  <si>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</si>
  <si>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</si>
  <si>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</si>
  <si>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</si>
  <si>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</si>
  <si>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</si>
  <si>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</si>
  <si>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</si>
  <si>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</si>
  <si>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</si>
  <si>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</si>
  <si>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</si>
  <si>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</si>
  <si>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</si>
  <si>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</si>
  <si>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</si>
  <si>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</si>
  <si>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</si>
  <si>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</si>
  <si>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</si>
  <si>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</si>
  <si>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</si>
  <si>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</si>
  <si>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</si>
  <si>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</si>
  <si>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</si>
  <si>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</si>
  <si>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</si>
  <si>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</si>
  <si>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</si>
  <si>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</si>
  <si>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</si>
  <si>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</si>
  <si>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CR Unreliable?</t>
  </si>
  <si>
    <t>Crude Rate (CR)</t>
  </si>
  <si>
    <t>Maternal Deaths</t>
  </si>
  <si>
    <t>Births</t>
  </si>
  <si>
    <t>State of Residence</t>
  </si>
  <si>
    <t>State / District</t>
  </si>
  <si>
    <t>Land area (sq mi)</t>
  </si>
  <si>
    <t>Land area (sq km)</t>
  </si>
  <si>
    <t>District of Columbia</t>
  </si>
  <si>
    <t>New Hampshire</t>
  </si>
  <si>
    <t>New Jersey</t>
  </si>
  <si>
    <t>New Mexico</t>
  </si>
  <si>
    <t>New York</t>
  </si>
  <si>
    <t>North Carolina</t>
  </si>
  <si>
    <t>North Dakota</t>
  </si>
  <si>
    <t>Rhode Island</t>
  </si>
  <si>
    <t>South Carolina</t>
  </si>
  <si>
    <t>South Dakota</t>
  </si>
  <si>
    <t>West Virginia</t>
  </si>
  <si>
    <t>FIPS</t>
  </si>
  <si>
    <t>Population Density</t>
  </si>
  <si>
    <t>Land Area (sq mi)</t>
  </si>
  <si>
    <t>Maternal Mortality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</si>
</sst>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761E-4BE9-42C1-BB7A-4E89D1759419}">
  <dimension ref="A1:M307"/>
  <sheetViews>
    <sheetView tabSelected="1" workbookViewId="0">
      <selection activeCell="L2" sqref="L2"/>
    </sheetView>
  </sheetViews>
  <sheetFormatPr defaultRowHeight="15" x14ac:dyDescent="0.25"/>
  <cols>
    <col min="4" max="4" width="19.85546875" customWidth="1"/>
    <col min="9" max="9" width="22" customWidth="1"/>
    <col min="11" max="11" width="10.5703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3</v>
      </c>
      <c r="F1" s="1" t="s">
        <v>58</v>
      </c>
      <c r="G1" s="1" t="s">
        <v>57</v>
      </c>
      <c r="H1" s="1" t="s">
        <v>60</v>
      </c>
      <c r="I1" s="1" t="s">
        <v>79</v>
      </c>
      <c r="J1" s="1" t="s">
        <v>78</v>
      </c>
      <c r="K1" s="1" t="s">
        <v>77</v>
      </c>
    </row>
    <row r="2" spans="1:13" x14ac:dyDescent="0.25">
      <c r="A2" t="s">
        <v>4</v>
      </c>
      <c r="B2">
        <v>1</v>
      </c>
      <c r="C2">
        <v>2018</v>
      </c>
      <c r="D2">
        <v>21</v>
      </c>
      <c r="E2">
        <v>4887871</v>
      </c>
      <c r="F2">
        <v>0.4</v>
      </c>
      <c r="H2">
        <v>57761</v>
      </c>
      <c r="I2" s="2">
        <f>(D2/H2)*100000</f>
        <v>36.356711275774309</v>
      </c>
      <c r="J2">
        <f>INDEX('Land Area'!$C:$C,
       MATCH($B2, 'Land Area'!$B:$B, 0))</f>
        <v>52420</v>
      </c>
      <c r="K2" s="2">
        <f t="shared" ref="K2:K65" si="0">E2/J2</f>
        <v>93.244391453643644</v>
      </c>
      <c r="M2" s="2"/>
    </row>
    <row r="3" spans="1:13" x14ac:dyDescent="0.25">
      <c r="A3" t="s">
        <v>4</v>
      </c>
      <c r="B3">
        <v>1</v>
      </c>
      <c r="C3">
        <v>2019</v>
      </c>
      <c r="D3">
        <v>21</v>
      </c>
      <c r="E3">
        <v>4903185</v>
      </c>
      <c r="F3">
        <v>0.4</v>
      </c>
      <c r="H3">
        <v>58615</v>
      </c>
      <c r="I3" s="2">
        <f t="shared" ref="I3:I7" si="1">(D3/H3)*100000</f>
        <v>35.827006738889359</v>
      </c>
      <c r="J3">
        <f>INDEX('Land Area'!$C:$C,
       MATCH($B3, 'Land Area'!$B:$B, 0))</f>
        <v>52420</v>
      </c>
      <c r="K3" s="2">
        <f t="shared" si="0"/>
        <v>93.536531858069438</v>
      </c>
    </row>
    <row r="4" spans="1:13" x14ac:dyDescent="0.25">
      <c r="A4" t="s">
        <v>4</v>
      </c>
      <c r="B4">
        <v>1</v>
      </c>
      <c r="C4">
        <v>2020</v>
      </c>
      <c r="D4">
        <v>21</v>
      </c>
      <c r="E4">
        <v>4921532</v>
      </c>
      <c r="F4">
        <v>0.4</v>
      </c>
      <c r="H4">
        <v>57647</v>
      </c>
      <c r="I4" s="2">
        <f t="shared" si="1"/>
        <v>36.428608600621018</v>
      </c>
      <c r="J4">
        <f>INDEX('Land Area'!$C:$C,
       MATCH($B4, 'Land Area'!$B:$B, 0))</f>
        <v>52420</v>
      </c>
      <c r="K4" s="2">
        <f t="shared" si="0"/>
        <v>93.886531858069432</v>
      </c>
    </row>
    <row r="5" spans="1:13" x14ac:dyDescent="0.25">
      <c r="A5" t="s">
        <v>4</v>
      </c>
      <c r="B5">
        <v>1</v>
      </c>
      <c r="C5">
        <v>2021</v>
      </c>
      <c r="D5">
        <v>33</v>
      </c>
      <c r="E5">
        <v>5039877</v>
      </c>
      <c r="F5">
        <v>0.7</v>
      </c>
      <c r="H5">
        <v>58054</v>
      </c>
      <c r="I5" s="2">
        <f t="shared" si="1"/>
        <v>56.843628346022669</v>
      </c>
      <c r="J5">
        <f>INDEX('Land Area'!$C:$C,
       MATCH($B5, 'Land Area'!$B:$B, 0))</f>
        <v>52420</v>
      </c>
      <c r="K5" s="2">
        <f t="shared" si="0"/>
        <v>96.144162533384204</v>
      </c>
    </row>
    <row r="6" spans="1:13" x14ac:dyDescent="0.25">
      <c r="A6" t="s">
        <v>4</v>
      </c>
      <c r="B6">
        <v>1</v>
      </c>
      <c r="C6">
        <v>2022</v>
      </c>
      <c r="D6">
        <v>16</v>
      </c>
      <c r="E6">
        <v>5074296</v>
      </c>
      <c r="F6">
        <v>0.3</v>
      </c>
      <c r="G6" t="s">
        <v>5</v>
      </c>
      <c r="H6">
        <v>58149</v>
      </c>
      <c r="I6" s="2">
        <f t="shared" si="1"/>
        <v>27.515520473266953</v>
      </c>
      <c r="J6">
        <f>INDEX('Land Area'!$C:$C,
       MATCH($B6, 'Land Area'!$B:$B, 0))</f>
        <v>52420</v>
      </c>
      <c r="K6" s="2">
        <f t="shared" si="0"/>
        <v>96.800763067531477</v>
      </c>
    </row>
    <row r="7" spans="1:13" x14ac:dyDescent="0.25">
      <c r="A7" t="s">
        <v>4</v>
      </c>
      <c r="B7">
        <v>1</v>
      </c>
      <c r="C7">
        <v>2023</v>
      </c>
      <c r="D7">
        <v>11</v>
      </c>
      <c r="E7">
        <v>5108468</v>
      </c>
      <c r="F7">
        <v>0.2</v>
      </c>
      <c r="G7" t="s">
        <v>5</v>
      </c>
      <c r="H7">
        <v>57858</v>
      </c>
      <c r="I7" s="2">
        <f t="shared" si="1"/>
        <v>19.012064018804658</v>
      </c>
      <c r="J7">
        <f>INDEX('Land Area'!$C:$C,
       MATCH($B7, 'Land Area'!$B:$B, 0))</f>
        <v>52420</v>
      </c>
      <c r="K7" s="2">
        <f t="shared" si="0"/>
        <v>97.452651659671886</v>
      </c>
    </row>
    <row r="8" spans="1:13" x14ac:dyDescent="0.25">
      <c r="A8" t="s">
        <v>6</v>
      </c>
      <c r="B8">
        <v>2</v>
      </c>
      <c r="C8">
        <v>2018</v>
      </c>
      <c r="E8">
        <v>737438</v>
      </c>
      <c r="H8">
        <v>10086</v>
      </c>
      <c r="I8" s="2"/>
      <c r="J8">
        <f>INDEX('Land Area'!$C:$C,
       MATCH($B8, 'Land Area'!$B:$B, 0))</f>
        <v>571951</v>
      </c>
      <c r="K8" s="2">
        <f t="shared" si="0"/>
        <v>1.2893377229867593</v>
      </c>
    </row>
    <row r="9" spans="1:13" x14ac:dyDescent="0.25">
      <c r="A9" t="s">
        <v>6</v>
      </c>
      <c r="B9">
        <v>2</v>
      </c>
      <c r="C9">
        <v>2019</v>
      </c>
      <c r="E9">
        <v>731545</v>
      </c>
      <c r="H9">
        <v>9822</v>
      </c>
      <c r="I9" s="2"/>
      <c r="J9">
        <f>INDEX('Land Area'!$C:$C,
       MATCH($B9, 'Land Area'!$B:$B, 0))</f>
        <v>571951</v>
      </c>
      <c r="K9" s="2">
        <f t="shared" si="0"/>
        <v>1.2790343928063768</v>
      </c>
    </row>
    <row r="10" spans="1:13" x14ac:dyDescent="0.25">
      <c r="A10" t="s">
        <v>6</v>
      </c>
      <c r="B10">
        <v>2</v>
      </c>
      <c r="C10">
        <v>2020</v>
      </c>
      <c r="D10">
        <v>0</v>
      </c>
      <c r="E10">
        <v>731158</v>
      </c>
      <c r="F10">
        <v>0</v>
      </c>
      <c r="G10" t="s">
        <v>5</v>
      </c>
      <c r="H10">
        <v>9469</v>
      </c>
      <c r="I10" s="2">
        <f>(D10/H10)*100000</f>
        <v>0</v>
      </c>
      <c r="J10">
        <f>INDEX('Land Area'!$C:$C,
       MATCH($B10, 'Land Area'!$B:$B, 0))</f>
        <v>571951</v>
      </c>
      <c r="K10" s="2">
        <f t="shared" si="0"/>
        <v>1.2783577614166248</v>
      </c>
    </row>
    <row r="11" spans="1:13" x14ac:dyDescent="0.25">
      <c r="A11" t="s">
        <v>6</v>
      </c>
      <c r="B11">
        <v>2</v>
      </c>
      <c r="C11">
        <v>2021</v>
      </c>
      <c r="E11">
        <v>732673</v>
      </c>
      <c r="H11">
        <v>9367</v>
      </c>
      <c r="I11" s="2"/>
      <c r="J11">
        <f>INDEX('Land Area'!$C:$C,
       MATCH($B11, 'Land Area'!$B:$B, 0))</f>
        <v>571951</v>
      </c>
      <c r="K11" s="2">
        <f t="shared" si="0"/>
        <v>1.2810065897253435</v>
      </c>
    </row>
    <row r="12" spans="1:13" x14ac:dyDescent="0.25">
      <c r="A12" t="s">
        <v>6</v>
      </c>
      <c r="B12">
        <v>2</v>
      </c>
      <c r="C12">
        <v>2022</v>
      </c>
      <c r="E12">
        <v>733583</v>
      </c>
      <c r="H12">
        <v>9359</v>
      </c>
      <c r="I12" s="2"/>
      <c r="J12">
        <f>INDEX('Land Area'!$C:$C,
       MATCH($B12, 'Land Area'!$B:$B, 0))</f>
        <v>571951</v>
      </c>
      <c r="K12" s="2">
        <f t="shared" si="0"/>
        <v>1.2825976351120987</v>
      </c>
    </row>
    <row r="13" spans="1:13" x14ac:dyDescent="0.25">
      <c r="A13" t="s">
        <v>6</v>
      </c>
      <c r="B13">
        <v>2</v>
      </c>
      <c r="C13">
        <v>2023</v>
      </c>
      <c r="E13">
        <v>733406</v>
      </c>
      <c r="H13">
        <v>9015</v>
      </c>
      <c r="I13" s="2"/>
      <c r="J13">
        <f>INDEX('Land Area'!$C:$C,
       MATCH($B13, 'Land Area'!$B:$B, 0))</f>
        <v>571951</v>
      </c>
      <c r="K13" s="2">
        <f t="shared" si="0"/>
        <v>1.2822881680423672</v>
      </c>
    </row>
    <row r="14" spans="1:13" x14ac:dyDescent="0.25">
      <c r="A14" t="s">
        <v>8</v>
      </c>
      <c r="B14">
        <v>4</v>
      </c>
      <c r="C14">
        <v>2018</v>
      </c>
      <c r="D14">
        <v>18</v>
      </c>
      <c r="E14">
        <v>7171646</v>
      </c>
      <c r="F14">
        <v>0.3</v>
      </c>
      <c r="G14" t="s">
        <v>5</v>
      </c>
      <c r="H14">
        <v>80723</v>
      </c>
      <c r="I14" s="2">
        <f t="shared" ref="I14:I23" si="2">(D14/H14)*100000</f>
        <v>22.298477509507823</v>
      </c>
      <c r="J14">
        <f>INDEX('Land Area'!$C:$C,
       MATCH($B14, 'Land Area'!$B:$B, 0))</f>
        <v>113594</v>
      </c>
      <c r="K14" s="2">
        <f t="shared" si="0"/>
        <v>63.134021163089599</v>
      </c>
    </row>
    <row r="15" spans="1:13" x14ac:dyDescent="0.25">
      <c r="A15" t="s">
        <v>8</v>
      </c>
      <c r="B15">
        <v>4</v>
      </c>
      <c r="C15">
        <v>2019</v>
      </c>
      <c r="D15">
        <v>20</v>
      </c>
      <c r="E15">
        <v>7278717</v>
      </c>
      <c r="F15">
        <v>0.3</v>
      </c>
      <c r="H15">
        <v>79375</v>
      </c>
      <c r="I15" s="2">
        <f t="shared" si="2"/>
        <v>25.196850393700789</v>
      </c>
      <c r="J15">
        <f>INDEX('Land Area'!$C:$C,
       MATCH($B15, 'Land Area'!$B:$B, 0))</f>
        <v>113594</v>
      </c>
      <c r="K15" s="2">
        <f t="shared" si="0"/>
        <v>64.07659735549413</v>
      </c>
    </row>
    <row r="16" spans="1:13" x14ac:dyDescent="0.25">
      <c r="A16" t="s">
        <v>8</v>
      </c>
      <c r="B16">
        <v>4</v>
      </c>
      <c r="C16">
        <v>2020</v>
      </c>
      <c r="D16">
        <v>29</v>
      </c>
      <c r="E16">
        <v>7421401</v>
      </c>
      <c r="F16">
        <v>0.4</v>
      </c>
      <c r="H16">
        <v>76947</v>
      </c>
      <c r="I16" s="2">
        <f t="shared" si="2"/>
        <v>37.68827894524803</v>
      </c>
      <c r="J16">
        <f>INDEX('Land Area'!$C:$C,
       MATCH($B16, 'Land Area'!$B:$B, 0))</f>
        <v>113594</v>
      </c>
      <c r="K16" s="2">
        <f t="shared" si="0"/>
        <v>65.332684824902728</v>
      </c>
    </row>
    <row r="17" spans="1:11" x14ac:dyDescent="0.25">
      <c r="A17" t="s">
        <v>8</v>
      </c>
      <c r="B17">
        <v>4</v>
      </c>
      <c r="C17">
        <v>2021</v>
      </c>
      <c r="D17">
        <v>32</v>
      </c>
      <c r="E17">
        <v>7276316</v>
      </c>
      <c r="F17">
        <v>0.4</v>
      </c>
      <c r="H17">
        <v>77916</v>
      </c>
      <c r="I17" s="2">
        <f t="shared" si="2"/>
        <v>41.06987011653576</v>
      </c>
      <c r="J17">
        <f>INDEX('Land Area'!$C:$C,
       MATCH($B17, 'Land Area'!$B:$B, 0))</f>
        <v>113594</v>
      </c>
      <c r="K17" s="2">
        <f t="shared" si="0"/>
        <v>64.055460675739923</v>
      </c>
    </row>
    <row r="18" spans="1:11" x14ac:dyDescent="0.25">
      <c r="A18" t="s">
        <v>8</v>
      </c>
      <c r="B18">
        <v>4</v>
      </c>
      <c r="C18">
        <v>2022</v>
      </c>
      <c r="D18">
        <v>19</v>
      </c>
      <c r="E18">
        <v>7359197</v>
      </c>
      <c r="F18">
        <v>0.3</v>
      </c>
      <c r="G18" t="s">
        <v>5</v>
      </c>
      <c r="H18">
        <v>78547</v>
      </c>
      <c r="I18" s="2">
        <f t="shared" si="2"/>
        <v>24.189338867175067</v>
      </c>
      <c r="J18">
        <f>INDEX('Land Area'!$C:$C,
       MATCH($B18, 'Land Area'!$B:$B, 0))</f>
        <v>113594</v>
      </c>
      <c r="K18" s="2">
        <f t="shared" si="0"/>
        <v>64.785085479866893</v>
      </c>
    </row>
    <row r="19" spans="1:11" x14ac:dyDescent="0.25">
      <c r="A19" t="s">
        <v>8</v>
      </c>
      <c r="B19">
        <v>4</v>
      </c>
      <c r="C19">
        <v>2023</v>
      </c>
      <c r="D19">
        <v>19</v>
      </c>
      <c r="E19">
        <v>7431344</v>
      </c>
      <c r="F19">
        <v>0.3</v>
      </c>
      <c r="G19" t="s">
        <v>5</v>
      </c>
      <c r="H19">
        <v>78096</v>
      </c>
      <c r="I19" s="2">
        <f t="shared" si="2"/>
        <v>24.329030936283548</v>
      </c>
      <c r="J19">
        <f>INDEX('Land Area'!$C:$C,
       MATCH($B19, 'Land Area'!$B:$B, 0))</f>
        <v>113594</v>
      </c>
      <c r="K19" s="2">
        <f t="shared" si="0"/>
        <v>65.420215856471287</v>
      </c>
    </row>
    <row r="20" spans="1:11" x14ac:dyDescent="0.25">
      <c r="A20" t="s">
        <v>9</v>
      </c>
      <c r="B20">
        <v>5</v>
      </c>
      <c r="C20">
        <v>2018</v>
      </c>
      <c r="D20">
        <v>17</v>
      </c>
      <c r="E20">
        <v>3013825</v>
      </c>
      <c r="F20">
        <v>0.6</v>
      </c>
      <c r="G20" t="s">
        <v>5</v>
      </c>
      <c r="H20">
        <v>37018</v>
      </c>
      <c r="I20" s="2">
        <f t="shared" si="2"/>
        <v>45.923604732832679</v>
      </c>
      <c r="J20">
        <f>INDEX('Land Area'!$C:$C,
       MATCH($B20, 'Land Area'!$B:$B, 0))</f>
        <v>53179</v>
      </c>
      <c r="K20" s="2">
        <f t="shared" si="0"/>
        <v>56.673216871321387</v>
      </c>
    </row>
    <row r="21" spans="1:11" x14ac:dyDescent="0.25">
      <c r="A21" t="s">
        <v>9</v>
      </c>
      <c r="B21">
        <v>5</v>
      </c>
      <c r="C21">
        <v>2019</v>
      </c>
      <c r="D21">
        <v>12</v>
      </c>
      <c r="E21">
        <v>3017804</v>
      </c>
      <c r="F21">
        <v>0.4</v>
      </c>
      <c r="G21" t="s">
        <v>5</v>
      </c>
      <c r="H21">
        <v>36564</v>
      </c>
      <c r="I21" s="2">
        <f t="shared" si="2"/>
        <v>32.81916639317361</v>
      </c>
      <c r="J21">
        <f>INDEX('Land Area'!$C:$C,
       MATCH($B21, 'Land Area'!$B:$B, 0))</f>
        <v>53179</v>
      </c>
      <c r="K21" s="2">
        <f t="shared" si="0"/>
        <v>56.7480396397074</v>
      </c>
    </row>
    <row r="22" spans="1:11" x14ac:dyDescent="0.25">
      <c r="A22" t="s">
        <v>9</v>
      </c>
      <c r="B22">
        <v>5</v>
      </c>
      <c r="C22">
        <v>2020</v>
      </c>
      <c r="D22">
        <v>15</v>
      </c>
      <c r="E22">
        <v>3030522</v>
      </c>
      <c r="F22">
        <v>0.5</v>
      </c>
      <c r="G22" t="s">
        <v>5</v>
      </c>
      <c r="H22">
        <v>35251</v>
      </c>
      <c r="I22" s="2">
        <f t="shared" si="2"/>
        <v>42.551984340869758</v>
      </c>
      <c r="J22">
        <f>INDEX('Land Area'!$C:$C,
       MATCH($B22, 'Land Area'!$B:$B, 0))</f>
        <v>53179</v>
      </c>
      <c r="K22" s="2">
        <f t="shared" si="0"/>
        <v>56.987194193196565</v>
      </c>
    </row>
    <row r="23" spans="1:11" x14ac:dyDescent="0.25">
      <c r="A23" t="s">
        <v>9</v>
      </c>
      <c r="B23">
        <v>5</v>
      </c>
      <c r="C23">
        <v>2021</v>
      </c>
      <c r="D23">
        <v>19</v>
      </c>
      <c r="E23">
        <v>3025891</v>
      </c>
      <c r="F23">
        <v>0.6</v>
      </c>
      <c r="G23" t="s">
        <v>5</v>
      </c>
      <c r="H23">
        <v>35965</v>
      </c>
      <c r="I23" s="2">
        <f t="shared" si="2"/>
        <v>52.82913944112331</v>
      </c>
      <c r="J23">
        <f>INDEX('Land Area'!$C:$C,
       MATCH($B23, 'Land Area'!$B:$B, 0))</f>
        <v>53179</v>
      </c>
      <c r="K23" s="2">
        <f t="shared" si="0"/>
        <v>56.900110946050134</v>
      </c>
    </row>
    <row r="24" spans="1:11" x14ac:dyDescent="0.25">
      <c r="A24" t="s">
        <v>9</v>
      </c>
      <c r="B24">
        <v>5</v>
      </c>
      <c r="C24">
        <v>2022</v>
      </c>
      <c r="E24">
        <v>3045637</v>
      </c>
      <c r="H24">
        <v>35471</v>
      </c>
      <c r="I24" s="2"/>
      <c r="J24">
        <f>INDEX('Land Area'!$C:$C,
       MATCH($B24, 'Land Area'!$B:$B, 0))</f>
        <v>53179</v>
      </c>
      <c r="K24" s="2">
        <f t="shared" si="0"/>
        <v>57.271422930103988</v>
      </c>
    </row>
    <row r="25" spans="1:11" x14ac:dyDescent="0.25">
      <c r="A25" t="s">
        <v>9</v>
      </c>
      <c r="B25">
        <v>5</v>
      </c>
      <c r="C25">
        <v>2023</v>
      </c>
      <c r="D25">
        <v>11</v>
      </c>
      <c r="E25">
        <v>3067732</v>
      </c>
      <c r="F25">
        <v>0.4</v>
      </c>
      <c r="G25" t="s">
        <v>5</v>
      </c>
      <c r="H25">
        <v>35264</v>
      </c>
      <c r="I25" s="2">
        <f t="shared" ref="I25:I31" si="3">(D25/H25)*100000</f>
        <v>31.193284936479127</v>
      </c>
      <c r="J25">
        <f>INDEX('Land Area'!$C:$C,
       MATCH($B25, 'Land Area'!$B:$B, 0))</f>
        <v>53179</v>
      </c>
      <c r="K25" s="2">
        <f t="shared" si="0"/>
        <v>57.68690648564283</v>
      </c>
    </row>
    <row r="26" spans="1:11" x14ac:dyDescent="0.25">
      <c r="A26" t="s">
        <v>10</v>
      </c>
      <c r="B26">
        <v>6</v>
      </c>
      <c r="C26">
        <v>2018</v>
      </c>
      <c r="D26">
        <v>53</v>
      </c>
      <c r="E26">
        <v>39557045</v>
      </c>
      <c r="F26">
        <v>0.1</v>
      </c>
      <c r="H26">
        <v>454920</v>
      </c>
      <c r="I26" s="2">
        <f t="shared" si="3"/>
        <v>11.650400070342037</v>
      </c>
      <c r="J26">
        <f>INDEX('Land Area'!$C:$C,
       MATCH($B26, 'Land Area'!$B:$B, 0))</f>
        <v>155779</v>
      </c>
      <c r="K26" s="2">
        <f t="shared" si="0"/>
        <v>253.93053620834644</v>
      </c>
    </row>
    <row r="27" spans="1:11" x14ac:dyDescent="0.25">
      <c r="A27" t="s">
        <v>10</v>
      </c>
      <c r="B27">
        <v>6</v>
      </c>
      <c r="C27">
        <v>2019</v>
      </c>
      <c r="D27">
        <v>50</v>
      </c>
      <c r="E27">
        <v>39512223</v>
      </c>
      <c r="F27">
        <v>0.1</v>
      </c>
      <c r="H27">
        <v>446479</v>
      </c>
      <c r="I27" s="2">
        <f t="shared" si="3"/>
        <v>11.198734990895428</v>
      </c>
      <c r="J27">
        <f>INDEX('Land Area'!$C:$C,
       MATCH($B27, 'Land Area'!$B:$B, 0))</f>
        <v>155779</v>
      </c>
      <c r="K27" s="2">
        <f t="shared" si="0"/>
        <v>253.64280808067841</v>
      </c>
    </row>
    <row r="28" spans="1:11" x14ac:dyDescent="0.25">
      <c r="A28" t="s">
        <v>10</v>
      </c>
      <c r="B28">
        <v>6</v>
      </c>
      <c r="C28">
        <v>2020</v>
      </c>
      <c r="D28">
        <v>32</v>
      </c>
      <c r="E28">
        <v>39368078</v>
      </c>
      <c r="F28">
        <v>0.1</v>
      </c>
      <c r="H28">
        <v>420259</v>
      </c>
      <c r="I28" s="2">
        <f t="shared" si="3"/>
        <v>7.6143521019181026</v>
      </c>
      <c r="J28">
        <f>INDEX('Land Area'!$C:$C,
       MATCH($B28, 'Land Area'!$B:$B, 0))</f>
        <v>155779</v>
      </c>
      <c r="K28" s="2">
        <f t="shared" si="0"/>
        <v>252.71749080428043</v>
      </c>
    </row>
    <row r="29" spans="1:11" x14ac:dyDescent="0.25">
      <c r="A29" t="s">
        <v>10</v>
      </c>
      <c r="B29">
        <v>6</v>
      </c>
      <c r="C29">
        <v>2021</v>
      </c>
      <c r="D29">
        <v>41</v>
      </c>
      <c r="E29">
        <v>39237836</v>
      </c>
      <c r="F29">
        <v>0.1</v>
      </c>
      <c r="H29">
        <v>420608</v>
      </c>
      <c r="I29" s="2">
        <f t="shared" si="3"/>
        <v>9.7477936701156427</v>
      </c>
      <c r="J29">
        <f>INDEX('Land Area'!$C:$C,
       MATCH($B29, 'Land Area'!$B:$B, 0))</f>
        <v>155779</v>
      </c>
      <c r="K29" s="2">
        <f t="shared" si="0"/>
        <v>251.88142175774655</v>
      </c>
    </row>
    <row r="30" spans="1:11" x14ac:dyDescent="0.25">
      <c r="A30" t="s">
        <v>10</v>
      </c>
      <c r="B30">
        <v>6</v>
      </c>
      <c r="C30">
        <v>2022</v>
      </c>
      <c r="D30">
        <v>52</v>
      </c>
      <c r="E30">
        <v>39029342</v>
      </c>
      <c r="F30">
        <v>0.1</v>
      </c>
      <c r="H30">
        <v>419104</v>
      </c>
      <c r="I30" s="2">
        <f t="shared" si="3"/>
        <v>12.407421546919142</v>
      </c>
      <c r="J30">
        <f>INDEX('Land Area'!$C:$C,
       MATCH($B30, 'Land Area'!$B:$B, 0))</f>
        <v>155779</v>
      </c>
      <c r="K30" s="2">
        <f t="shared" si="0"/>
        <v>250.54302569666001</v>
      </c>
    </row>
    <row r="31" spans="1:11" x14ac:dyDescent="0.25">
      <c r="A31" t="s">
        <v>10</v>
      </c>
      <c r="B31">
        <v>6</v>
      </c>
      <c r="C31">
        <v>2023</v>
      </c>
      <c r="D31">
        <v>38</v>
      </c>
      <c r="E31">
        <v>38965193</v>
      </c>
      <c r="F31">
        <v>0.1</v>
      </c>
      <c r="H31">
        <v>400108</v>
      </c>
      <c r="I31" s="2">
        <f t="shared" si="3"/>
        <v>9.4974356923630605</v>
      </c>
      <c r="J31">
        <f>INDEX('Land Area'!$C:$C,
       MATCH($B31, 'Land Area'!$B:$B, 0))</f>
        <v>155779</v>
      </c>
      <c r="K31" s="2">
        <f t="shared" si="0"/>
        <v>250.13123078206948</v>
      </c>
    </row>
    <row r="32" spans="1:11" x14ac:dyDescent="0.25">
      <c r="A32" t="s">
        <v>11</v>
      </c>
      <c r="B32">
        <v>8</v>
      </c>
      <c r="C32">
        <v>2018</v>
      </c>
      <c r="E32">
        <v>5695564</v>
      </c>
      <c r="H32">
        <v>62885</v>
      </c>
      <c r="I32" s="2"/>
      <c r="J32">
        <f>INDEX('Land Area'!$C:$C,
       MATCH($B32, 'Land Area'!$B:$B, 0))</f>
        <v>103642</v>
      </c>
      <c r="K32" s="2">
        <f t="shared" si="0"/>
        <v>54.954207753613403</v>
      </c>
    </row>
    <row r="33" spans="1:11" x14ac:dyDescent="0.25">
      <c r="A33" t="s">
        <v>11</v>
      </c>
      <c r="B33">
        <v>8</v>
      </c>
      <c r="C33">
        <v>2019</v>
      </c>
      <c r="D33">
        <v>12</v>
      </c>
      <c r="E33">
        <v>5758736</v>
      </c>
      <c r="F33">
        <v>0.2</v>
      </c>
      <c r="G33" t="s">
        <v>5</v>
      </c>
      <c r="H33">
        <v>62869</v>
      </c>
      <c r="I33" s="2">
        <f>(D33/H33)*100000</f>
        <v>19.087308530436303</v>
      </c>
      <c r="J33">
        <f>INDEX('Land Area'!$C:$C,
       MATCH($B33, 'Land Area'!$B:$B, 0))</f>
        <v>103642</v>
      </c>
      <c r="K33" s="2">
        <f t="shared" si="0"/>
        <v>55.563728990177729</v>
      </c>
    </row>
    <row r="34" spans="1:11" x14ac:dyDescent="0.25">
      <c r="A34" t="s">
        <v>11</v>
      </c>
      <c r="B34">
        <v>8</v>
      </c>
      <c r="C34">
        <v>2020</v>
      </c>
      <c r="D34">
        <v>10</v>
      </c>
      <c r="E34">
        <v>5807719</v>
      </c>
      <c r="F34">
        <v>0.2</v>
      </c>
      <c r="G34" t="s">
        <v>5</v>
      </c>
      <c r="H34">
        <v>61494</v>
      </c>
      <c r="I34" s="2">
        <f>(D34/H34)*100000</f>
        <v>16.261749113734673</v>
      </c>
      <c r="J34">
        <f>INDEX('Land Area'!$C:$C,
       MATCH($B34, 'Land Area'!$B:$B, 0))</f>
        <v>103642</v>
      </c>
      <c r="K34" s="2">
        <f t="shared" si="0"/>
        <v>56.036346268887129</v>
      </c>
    </row>
    <row r="35" spans="1:11" x14ac:dyDescent="0.25">
      <c r="A35" t="s">
        <v>11</v>
      </c>
      <c r="B35">
        <v>8</v>
      </c>
      <c r="C35">
        <v>2021</v>
      </c>
      <c r="D35">
        <v>11</v>
      </c>
      <c r="E35">
        <v>5812069</v>
      </c>
      <c r="F35">
        <v>0.2</v>
      </c>
      <c r="G35" t="s">
        <v>5</v>
      </c>
      <c r="H35">
        <v>62949</v>
      </c>
      <c r="I35" s="2">
        <f>(D35/H35)*100000</f>
        <v>17.474463454542565</v>
      </c>
      <c r="J35">
        <f>INDEX('Land Area'!$C:$C,
       MATCH($B35, 'Land Area'!$B:$B, 0))</f>
        <v>103642</v>
      </c>
      <c r="K35" s="2">
        <f t="shared" si="0"/>
        <v>56.078317670442487</v>
      </c>
    </row>
    <row r="36" spans="1:11" x14ac:dyDescent="0.25">
      <c r="A36" t="s">
        <v>11</v>
      </c>
      <c r="B36">
        <v>8</v>
      </c>
      <c r="C36">
        <v>2022</v>
      </c>
      <c r="D36">
        <v>12</v>
      </c>
      <c r="E36">
        <v>5839926</v>
      </c>
      <c r="F36">
        <v>0.2</v>
      </c>
      <c r="G36" t="s">
        <v>5</v>
      </c>
      <c r="H36">
        <v>62383</v>
      </c>
      <c r="I36" s="2">
        <f>(D36/H36)*100000</f>
        <v>19.236009810365001</v>
      </c>
      <c r="J36">
        <f>INDEX('Land Area'!$C:$C,
       MATCH($B36, 'Land Area'!$B:$B, 0))</f>
        <v>103642</v>
      </c>
      <c r="K36" s="2">
        <f t="shared" si="0"/>
        <v>56.347098666563745</v>
      </c>
    </row>
    <row r="37" spans="1:11" x14ac:dyDescent="0.25">
      <c r="A37" t="s">
        <v>11</v>
      </c>
      <c r="B37">
        <v>8</v>
      </c>
      <c r="C37">
        <v>2023</v>
      </c>
      <c r="E37">
        <v>5877610</v>
      </c>
      <c r="H37">
        <v>61494</v>
      </c>
      <c r="I37" s="2"/>
      <c r="J37">
        <f>INDEX('Land Area'!$C:$C,
       MATCH($B37, 'Land Area'!$B:$B, 0))</f>
        <v>103642</v>
      </c>
      <c r="K37" s="2">
        <f t="shared" si="0"/>
        <v>56.710696435807876</v>
      </c>
    </row>
    <row r="38" spans="1:11" x14ac:dyDescent="0.25">
      <c r="A38" t="s">
        <v>12</v>
      </c>
      <c r="B38">
        <v>9</v>
      </c>
      <c r="C38">
        <v>2018</v>
      </c>
      <c r="E38">
        <v>3572665</v>
      </c>
      <c r="H38">
        <v>34725</v>
      </c>
      <c r="I38" s="2"/>
      <c r="J38">
        <f>INDEX('Land Area'!$C:$C,
       MATCH($B38, 'Land Area'!$B:$B, 0))</f>
        <v>4842</v>
      </c>
      <c r="K38" s="2">
        <f t="shared" si="0"/>
        <v>737.84902932672446</v>
      </c>
    </row>
    <row r="39" spans="1:11" x14ac:dyDescent="0.25">
      <c r="A39" t="s">
        <v>12</v>
      </c>
      <c r="B39">
        <v>9</v>
      </c>
      <c r="C39">
        <v>2019</v>
      </c>
      <c r="E39">
        <v>3565287</v>
      </c>
      <c r="H39">
        <v>34258</v>
      </c>
      <c r="I39" s="2"/>
      <c r="J39">
        <f>INDEX('Land Area'!$C:$C,
       MATCH($B39, 'Land Area'!$B:$B, 0))</f>
        <v>4842</v>
      </c>
      <c r="K39" s="2">
        <f t="shared" si="0"/>
        <v>736.32527881040892</v>
      </c>
    </row>
    <row r="40" spans="1:11" x14ac:dyDescent="0.25">
      <c r="A40" t="s">
        <v>12</v>
      </c>
      <c r="B40">
        <v>9</v>
      </c>
      <c r="C40">
        <v>2020</v>
      </c>
      <c r="E40">
        <v>3557006</v>
      </c>
      <c r="H40">
        <v>33460</v>
      </c>
      <c r="I40" s="2"/>
      <c r="J40">
        <f>INDEX('Land Area'!$C:$C,
       MATCH($B40, 'Land Area'!$B:$B, 0))</f>
        <v>4842</v>
      </c>
      <c r="K40" s="2">
        <f t="shared" si="0"/>
        <v>734.61503510945886</v>
      </c>
    </row>
    <row r="41" spans="1:11" x14ac:dyDescent="0.25">
      <c r="A41" t="s">
        <v>12</v>
      </c>
      <c r="B41">
        <v>9</v>
      </c>
      <c r="C41">
        <v>2021</v>
      </c>
      <c r="E41">
        <v>3605597</v>
      </c>
      <c r="H41">
        <v>35670</v>
      </c>
      <c r="I41" s="2"/>
      <c r="J41">
        <f>INDEX('Land Area'!$C:$C,
       MATCH($B41, 'Land Area'!$B:$B, 0))</f>
        <v>4842</v>
      </c>
      <c r="K41" s="2">
        <f t="shared" si="0"/>
        <v>744.65035109458904</v>
      </c>
    </row>
    <row r="42" spans="1:11" x14ac:dyDescent="0.25">
      <c r="A42" t="s">
        <v>12</v>
      </c>
      <c r="B42">
        <v>9</v>
      </c>
      <c r="C42">
        <v>2022</v>
      </c>
      <c r="E42">
        <v>3626205</v>
      </c>
      <c r="H42">
        <v>35332</v>
      </c>
      <c r="I42" s="2"/>
      <c r="J42">
        <f>INDEX('Land Area'!$C:$C,
       MATCH($B42, 'Land Area'!$B:$B, 0))</f>
        <v>4842</v>
      </c>
      <c r="K42" s="2">
        <f t="shared" si="0"/>
        <v>748.90644361833949</v>
      </c>
    </row>
    <row r="43" spans="1:11" x14ac:dyDescent="0.25">
      <c r="A43" t="s">
        <v>12</v>
      </c>
      <c r="B43">
        <v>9</v>
      </c>
      <c r="C43">
        <v>2023</v>
      </c>
      <c r="E43">
        <v>3617176</v>
      </c>
      <c r="H43">
        <v>34559</v>
      </c>
      <c r="I43" s="2"/>
      <c r="J43">
        <f>INDEX('Land Area'!$C:$C,
       MATCH($B43, 'Land Area'!$B:$B, 0))</f>
        <v>4842</v>
      </c>
      <c r="K43" s="2">
        <f t="shared" si="0"/>
        <v>747.04171829822383</v>
      </c>
    </row>
    <row r="44" spans="1:11" x14ac:dyDescent="0.25">
      <c r="A44" t="s">
        <v>13</v>
      </c>
      <c r="B44">
        <v>10</v>
      </c>
      <c r="C44">
        <v>2018</v>
      </c>
      <c r="E44">
        <v>967171</v>
      </c>
      <c r="H44">
        <v>10621</v>
      </c>
      <c r="I44" s="2"/>
      <c r="J44">
        <f>INDEX('Land Area'!$C:$C,
       MATCH($B44, 'Land Area'!$B:$B, 0))</f>
        <v>1949</v>
      </c>
      <c r="K44" s="2">
        <f t="shared" si="0"/>
        <v>496.23961005643918</v>
      </c>
    </row>
    <row r="45" spans="1:11" x14ac:dyDescent="0.25">
      <c r="A45" t="s">
        <v>13</v>
      </c>
      <c r="B45">
        <v>10</v>
      </c>
      <c r="C45">
        <v>2019</v>
      </c>
      <c r="D45">
        <v>0</v>
      </c>
      <c r="E45">
        <v>973764</v>
      </c>
      <c r="F45">
        <v>0</v>
      </c>
      <c r="G45" t="s">
        <v>5</v>
      </c>
      <c r="H45">
        <v>10562</v>
      </c>
      <c r="I45" s="2">
        <f>(D45/H45)*100000</f>
        <v>0</v>
      </c>
      <c r="J45">
        <f>INDEX('Land Area'!$C:$C,
       MATCH($B45, 'Land Area'!$B:$B, 0))</f>
        <v>1949</v>
      </c>
      <c r="K45" s="2">
        <f t="shared" si="0"/>
        <v>499.62237044638277</v>
      </c>
    </row>
    <row r="46" spans="1:11" x14ac:dyDescent="0.25">
      <c r="A46" t="s">
        <v>13</v>
      </c>
      <c r="B46">
        <v>10</v>
      </c>
      <c r="C46">
        <v>2020</v>
      </c>
      <c r="E46">
        <v>986809</v>
      </c>
      <c r="H46">
        <v>10392</v>
      </c>
      <c r="I46" s="2"/>
      <c r="J46">
        <f>INDEX('Land Area'!$C:$C,
       MATCH($B46, 'Land Area'!$B:$B, 0))</f>
        <v>1949</v>
      </c>
      <c r="K46" s="2">
        <f t="shared" si="0"/>
        <v>506.31554643406878</v>
      </c>
    </row>
    <row r="47" spans="1:11" x14ac:dyDescent="0.25">
      <c r="A47" t="s">
        <v>13</v>
      </c>
      <c r="B47">
        <v>10</v>
      </c>
      <c r="C47">
        <v>2021</v>
      </c>
      <c r="E47">
        <v>1003384</v>
      </c>
      <c r="H47">
        <v>10482</v>
      </c>
      <c r="I47" s="2"/>
      <c r="J47">
        <f>INDEX('Land Area'!$C:$C,
       MATCH($B47, 'Land Area'!$B:$B, 0))</f>
        <v>1949</v>
      </c>
      <c r="K47" s="2">
        <f t="shared" si="0"/>
        <v>514.81990764494617</v>
      </c>
    </row>
    <row r="48" spans="1:11" x14ac:dyDescent="0.25">
      <c r="A48" t="s">
        <v>13</v>
      </c>
      <c r="B48">
        <v>10</v>
      </c>
      <c r="C48">
        <v>2022</v>
      </c>
      <c r="E48">
        <v>1018396</v>
      </c>
      <c r="H48">
        <v>10816</v>
      </c>
      <c r="I48" s="2"/>
      <c r="J48">
        <f>INDEX('Land Area'!$C:$C,
       MATCH($B48, 'Land Area'!$B:$B, 0))</f>
        <v>1949</v>
      </c>
      <c r="K48" s="2">
        <f t="shared" si="0"/>
        <v>522.5223191380195</v>
      </c>
    </row>
    <row r="49" spans="1:11" x14ac:dyDescent="0.25">
      <c r="A49" t="s">
        <v>13</v>
      </c>
      <c r="B49">
        <v>10</v>
      </c>
      <c r="C49">
        <v>2023</v>
      </c>
      <c r="D49">
        <v>0</v>
      </c>
      <c r="E49">
        <v>1031890</v>
      </c>
      <c r="F49">
        <v>0</v>
      </c>
      <c r="G49" t="s">
        <v>5</v>
      </c>
      <c r="H49">
        <v>10427</v>
      </c>
      <c r="I49" s="2">
        <f>(D49/H49)*100000</f>
        <v>0</v>
      </c>
      <c r="J49">
        <f>INDEX('Land Area'!$C:$C,
       MATCH($B49, 'Land Area'!$B:$B, 0))</f>
        <v>1949</v>
      </c>
      <c r="K49" s="2">
        <f t="shared" si="0"/>
        <v>529.4458696767573</v>
      </c>
    </row>
    <row r="50" spans="1:11" x14ac:dyDescent="0.25">
      <c r="A50" t="s">
        <v>14</v>
      </c>
      <c r="B50">
        <v>11</v>
      </c>
      <c r="C50">
        <v>2018</v>
      </c>
      <c r="E50">
        <v>702455</v>
      </c>
      <c r="H50">
        <v>9212</v>
      </c>
      <c r="I50" s="2"/>
      <c r="J50">
        <f>INDEX('Land Area'!$C:$C,
       MATCH($B50, 'Land Area'!$B:$B, 0))</f>
        <v>68</v>
      </c>
      <c r="K50" s="2">
        <f t="shared" si="0"/>
        <v>10330.220588235294</v>
      </c>
    </row>
    <row r="51" spans="1:11" x14ac:dyDescent="0.25">
      <c r="A51" t="s">
        <v>14</v>
      </c>
      <c r="B51">
        <v>11</v>
      </c>
      <c r="C51">
        <v>2019</v>
      </c>
      <c r="E51">
        <v>705749</v>
      </c>
      <c r="H51">
        <v>9079</v>
      </c>
      <c r="I51" s="2"/>
      <c r="J51">
        <f>INDEX('Land Area'!$C:$C,
       MATCH($B51, 'Land Area'!$B:$B, 0))</f>
        <v>68</v>
      </c>
      <c r="K51" s="2">
        <f t="shared" si="0"/>
        <v>10378.661764705883</v>
      </c>
    </row>
    <row r="52" spans="1:11" x14ac:dyDescent="0.25">
      <c r="A52" t="s">
        <v>14</v>
      </c>
      <c r="B52">
        <v>11</v>
      </c>
      <c r="C52">
        <v>2020</v>
      </c>
      <c r="E52">
        <v>712816</v>
      </c>
      <c r="H52">
        <v>8874</v>
      </c>
      <c r="I52" s="2"/>
      <c r="J52">
        <f>INDEX('Land Area'!$C:$C,
       MATCH($B52, 'Land Area'!$B:$B, 0))</f>
        <v>68</v>
      </c>
      <c r="K52" s="2">
        <f t="shared" si="0"/>
        <v>10482.588235294117</v>
      </c>
    </row>
    <row r="53" spans="1:11" x14ac:dyDescent="0.25">
      <c r="A53" t="s">
        <v>14</v>
      </c>
      <c r="B53">
        <v>11</v>
      </c>
      <c r="C53">
        <v>2021</v>
      </c>
      <c r="E53">
        <v>670050</v>
      </c>
      <c r="H53">
        <v>8660</v>
      </c>
      <c r="I53" s="2"/>
      <c r="J53">
        <f>INDEX('Land Area'!$C:$C,
       MATCH($B53, 'Land Area'!$B:$B, 0))</f>
        <v>68</v>
      </c>
      <c r="K53" s="2">
        <f t="shared" si="0"/>
        <v>9853.676470588236</v>
      </c>
    </row>
    <row r="54" spans="1:11" x14ac:dyDescent="0.25">
      <c r="A54" t="s">
        <v>14</v>
      </c>
      <c r="B54">
        <v>11</v>
      </c>
      <c r="C54">
        <v>2022</v>
      </c>
      <c r="E54">
        <v>671803</v>
      </c>
      <c r="H54">
        <v>8075</v>
      </c>
      <c r="I54" s="2"/>
      <c r="J54">
        <f>INDEX('Land Area'!$C:$C,
       MATCH($B54, 'Land Area'!$B:$B, 0))</f>
        <v>68</v>
      </c>
      <c r="K54" s="2">
        <f t="shared" si="0"/>
        <v>9879.4558823529405</v>
      </c>
    </row>
    <row r="55" spans="1:11" x14ac:dyDescent="0.25">
      <c r="A55" t="s">
        <v>14</v>
      </c>
      <c r="B55">
        <v>11</v>
      </c>
      <c r="C55">
        <v>2023</v>
      </c>
      <c r="E55">
        <v>678972</v>
      </c>
      <c r="H55">
        <v>7896</v>
      </c>
      <c r="I55" s="2"/>
      <c r="J55">
        <f>INDEX('Land Area'!$C:$C,
       MATCH($B55, 'Land Area'!$B:$B, 0))</f>
        <v>68</v>
      </c>
      <c r="K55" s="2">
        <f t="shared" si="0"/>
        <v>9984.8823529411766</v>
      </c>
    </row>
    <row r="56" spans="1:11" x14ac:dyDescent="0.25">
      <c r="A56" t="s">
        <v>15</v>
      </c>
      <c r="B56">
        <v>12</v>
      </c>
      <c r="C56">
        <v>2018</v>
      </c>
      <c r="D56">
        <v>35</v>
      </c>
      <c r="E56">
        <v>21299325</v>
      </c>
      <c r="F56">
        <v>0.2</v>
      </c>
      <c r="H56">
        <v>221542</v>
      </c>
      <c r="I56" s="2">
        <f t="shared" ref="I56:I67" si="4">(D56/H56)*100000</f>
        <v>15.798358776213989</v>
      </c>
      <c r="J56">
        <f>INDEX('Land Area'!$C:$C,
       MATCH($B56, 'Land Area'!$B:$B, 0))</f>
        <v>53625</v>
      </c>
      <c r="K56" s="2">
        <f t="shared" si="0"/>
        <v>397.19020979020979</v>
      </c>
    </row>
    <row r="57" spans="1:11" x14ac:dyDescent="0.25">
      <c r="A57" t="s">
        <v>15</v>
      </c>
      <c r="B57">
        <v>12</v>
      </c>
      <c r="C57">
        <v>2019</v>
      </c>
      <c r="D57">
        <v>59</v>
      </c>
      <c r="E57">
        <v>21477737</v>
      </c>
      <c r="F57">
        <v>0.3</v>
      </c>
      <c r="H57">
        <v>220002</v>
      </c>
      <c r="I57" s="2">
        <f t="shared" si="4"/>
        <v>26.817938018745281</v>
      </c>
      <c r="J57">
        <f>INDEX('Land Area'!$C:$C,
       MATCH($B57, 'Land Area'!$B:$B, 0))</f>
        <v>53625</v>
      </c>
      <c r="K57" s="2">
        <f t="shared" si="0"/>
        <v>400.5172400932401</v>
      </c>
    </row>
    <row r="58" spans="1:11" x14ac:dyDescent="0.25">
      <c r="A58" t="s">
        <v>15</v>
      </c>
      <c r="B58">
        <v>12</v>
      </c>
      <c r="C58">
        <v>2020</v>
      </c>
      <c r="D58">
        <v>47</v>
      </c>
      <c r="E58">
        <v>21733312</v>
      </c>
      <c r="F58">
        <v>0.2</v>
      </c>
      <c r="H58">
        <v>209671</v>
      </c>
      <c r="I58" s="2">
        <f t="shared" si="4"/>
        <v>22.416070892016542</v>
      </c>
      <c r="J58">
        <f>INDEX('Land Area'!$C:$C,
       MATCH($B58, 'Land Area'!$B:$B, 0))</f>
        <v>53625</v>
      </c>
      <c r="K58" s="2">
        <f t="shared" si="0"/>
        <v>405.28320745920746</v>
      </c>
    </row>
    <row r="59" spans="1:11" x14ac:dyDescent="0.25">
      <c r="A59" t="s">
        <v>15</v>
      </c>
      <c r="B59">
        <v>12</v>
      </c>
      <c r="C59">
        <v>2021</v>
      </c>
      <c r="D59">
        <v>87</v>
      </c>
      <c r="E59">
        <v>21781128</v>
      </c>
      <c r="F59">
        <v>0.4</v>
      </c>
      <c r="H59">
        <v>216260</v>
      </c>
      <c r="I59" s="2">
        <f t="shared" si="4"/>
        <v>40.229353555904929</v>
      </c>
      <c r="J59">
        <f>INDEX('Land Area'!$C:$C,
       MATCH($B59, 'Land Area'!$B:$B, 0))</f>
        <v>53625</v>
      </c>
      <c r="K59" s="2">
        <f t="shared" si="0"/>
        <v>406.1748811188811</v>
      </c>
    </row>
    <row r="60" spans="1:11" x14ac:dyDescent="0.25">
      <c r="A60" t="s">
        <v>15</v>
      </c>
      <c r="B60">
        <v>12</v>
      </c>
      <c r="C60">
        <v>2022</v>
      </c>
      <c r="D60">
        <v>35</v>
      </c>
      <c r="E60">
        <v>22244823</v>
      </c>
      <c r="F60">
        <v>0.2</v>
      </c>
      <c r="H60">
        <v>224433</v>
      </c>
      <c r="I60" s="2">
        <f t="shared" si="4"/>
        <v>15.594854589120137</v>
      </c>
      <c r="J60">
        <f>INDEX('Land Area'!$C:$C,
       MATCH($B60, 'Land Area'!$B:$B, 0))</f>
        <v>53625</v>
      </c>
      <c r="K60" s="2">
        <f t="shared" si="0"/>
        <v>414.8218741258741</v>
      </c>
    </row>
    <row r="61" spans="1:11" x14ac:dyDescent="0.25">
      <c r="A61" t="s">
        <v>15</v>
      </c>
      <c r="B61">
        <v>12</v>
      </c>
      <c r="C61">
        <v>2023</v>
      </c>
      <c r="D61">
        <v>40</v>
      </c>
      <c r="E61">
        <v>22610726</v>
      </c>
      <c r="F61">
        <v>0.2</v>
      </c>
      <c r="H61">
        <v>221410</v>
      </c>
      <c r="I61" s="2">
        <f t="shared" si="4"/>
        <v>18.066031344564383</v>
      </c>
      <c r="J61">
        <f>INDEX('Land Area'!$C:$C,
       MATCH($B61, 'Land Area'!$B:$B, 0))</f>
        <v>53625</v>
      </c>
      <c r="K61" s="2">
        <f t="shared" si="0"/>
        <v>421.64524009324009</v>
      </c>
    </row>
    <row r="62" spans="1:11" x14ac:dyDescent="0.25">
      <c r="A62" t="s">
        <v>16</v>
      </c>
      <c r="B62">
        <v>13</v>
      </c>
      <c r="C62">
        <v>2018</v>
      </c>
      <c r="D62">
        <v>35</v>
      </c>
      <c r="E62">
        <v>10519475</v>
      </c>
      <c r="F62">
        <v>0.3</v>
      </c>
      <c r="H62">
        <v>126172</v>
      </c>
      <c r="I62" s="2">
        <f t="shared" si="4"/>
        <v>27.739910598230985</v>
      </c>
      <c r="J62">
        <f>INDEX('Land Area'!$C:$C,
       MATCH($B62, 'Land Area'!$B:$B, 0))</f>
        <v>57513</v>
      </c>
      <c r="K62" s="2">
        <f t="shared" si="0"/>
        <v>182.90603863474345</v>
      </c>
    </row>
    <row r="63" spans="1:11" x14ac:dyDescent="0.25">
      <c r="A63" t="s">
        <v>16</v>
      </c>
      <c r="B63">
        <v>13</v>
      </c>
      <c r="C63">
        <v>2019</v>
      </c>
      <c r="D63">
        <v>43</v>
      </c>
      <c r="E63">
        <v>10617423</v>
      </c>
      <c r="F63">
        <v>0.4</v>
      </c>
      <c r="H63">
        <v>126371</v>
      </c>
      <c r="I63" s="2">
        <f t="shared" si="4"/>
        <v>34.026794122069141</v>
      </c>
      <c r="J63">
        <f>INDEX('Land Area'!$C:$C,
       MATCH($B63, 'Land Area'!$B:$B, 0))</f>
        <v>57513</v>
      </c>
      <c r="K63" s="2">
        <f t="shared" si="0"/>
        <v>184.60909707370507</v>
      </c>
    </row>
    <row r="64" spans="1:11" x14ac:dyDescent="0.25">
      <c r="A64" t="s">
        <v>16</v>
      </c>
      <c r="B64">
        <v>13</v>
      </c>
      <c r="C64">
        <v>2020</v>
      </c>
      <c r="D64">
        <v>30</v>
      </c>
      <c r="E64">
        <v>10710017</v>
      </c>
      <c r="F64">
        <v>0.3</v>
      </c>
      <c r="H64">
        <v>122473</v>
      </c>
      <c r="I64" s="2">
        <f t="shared" si="4"/>
        <v>24.495194859275102</v>
      </c>
      <c r="J64">
        <f>INDEX('Land Area'!$C:$C,
       MATCH($B64, 'Land Area'!$B:$B, 0))</f>
        <v>57513</v>
      </c>
      <c r="K64" s="2">
        <f t="shared" si="0"/>
        <v>186.21906351607461</v>
      </c>
    </row>
    <row r="65" spans="1:11" x14ac:dyDescent="0.25">
      <c r="A65" t="s">
        <v>16</v>
      </c>
      <c r="B65">
        <v>13</v>
      </c>
      <c r="C65">
        <v>2021</v>
      </c>
      <c r="D65">
        <v>61</v>
      </c>
      <c r="E65">
        <v>10799566</v>
      </c>
      <c r="F65">
        <v>0.6</v>
      </c>
      <c r="H65">
        <v>124073</v>
      </c>
      <c r="I65" s="2">
        <f t="shared" si="4"/>
        <v>49.164604708518375</v>
      </c>
      <c r="J65">
        <f>INDEX('Land Area'!$C:$C,
       MATCH($B65, 'Land Area'!$B:$B, 0))</f>
        <v>57513</v>
      </c>
      <c r="K65" s="2">
        <f t="shared" si="0"/>
        <v>187.77608540677761</v>
      </c>
    </row>
    <row r="66" spans="1:11" x14ac:dyDescent="0.25">
      <c r="A66" t="s">
        <v>16</v>
      </c>
      <c r="B66">
        <v>13</v>
      </c>
      <c r="C66">
        <v>2022</v>
      </c>
      <c r="D66">
        <v>32</v>
      </c>
      <c r="E66">
        <v>10912876</v>
      </c>
      <c r="F66">
        <v>0.3</v>
      </c>
      <c r="H66">
        <v>126130</v>
      </c>
      <c r="I66" s="2">
        <f t="shared" si="4"/>
        <v>25.370649330056292</v>
      </c>
      <c r="J66">
        <f>INDEX('Land Area'!$C:$C,
       MATCH($B66, 'Land Area'!$B:$B, 0))</f>
        <v>57513</v>
      </c>
      <c r="K66" s="2">
        <f t="shared" ref="K66:K129" si="5">E66/J66</f>
        <v>189.74624867421278</v>
      </c>
    </row>
    <row r="67" spans="1:11" x14ac:dyDescent="0.25">
      <c r="A67" t="s">
        <v>16</v>
      </c>
      <c r="B67">
        <v>13</v>
      </c>
      <c r="C67">
        <v>2023</v>
      </c>
      <c r="D67">
        <v>24</v>
      </c>
      <c r="E67">
        <v>11029227</v>
      </c>
      <c r="F67">
        <v>0.2</v>
      </c>
      <c r="H67">
        <v>125120</v>
      </c>
      <c r="I67" s="2">
        <f t="shared" si="4"/>
        <v>19.181585677749361</v>
      </c>
      <c r="J67">
        <f>INDEX('Land Area'!$C:$C,
       MATCH($B67, 'Land Area'!$B:$B, 0))</f>
        <v>57513</v>
      </c>
      <c r="K67" s="2">
        <f t="shared" si="5"/>
        <v>191.76928694382138</v>
      </c>
    </row>
    <row r="68" spans="1:11" x14ac:dyDescent="0.25">
      <c r="A68" t="s">
        <v>17</v>
      </c>
      <c r="B68">
        <v>15</v>
      </c>
      <c r="C68">
        <v>2018</v>
      </c>
      <c r="E68">
        <v>1420491</v>
      </c>
      <c r="H68">
        <v>16972</v>
      </c>
      <c r="I68" s="2"/>
      <c r="J68">
        <f>INDEX('Land Area'!$C:$C,
       MATCH($B68, 'Land Area'!$B:$B, 0))</f>
        <v>6423</v>
      </c>
      <c r="K68" s="2">
        <f t="shared" si="5"/>
        <v>221.15693601120972</v>
      </c>
    </row>
    <row r="69" spans="1:11" x14ac:dyDescent="0.25">
      <c r="A69" t="s">
        <v>17</v>
      </c>
      <c r="B69">
        <v>15</v>
      </c>
      <c r="C69">
        <v>2019</v>
      </c>
      <c r="E69">
        <v>1415872</v>
      </c>
      <c r="H69">
        <v>16797</v>
      </c>
      <c r="I69" s="2"/>
      <c r="J69">
        <f>INDEX('Land Area'!$C:$C,
       MATCH($B69, 'Land Area'!$B:$B, 0))</f>
        <v>6423</v>
      </c>
      <c r="K69" s="2">
        <f t="shared" si="5"/>
        <v>220.43780165031916</v>
      </c>
    </row>
    <row r="70" spans="1:11" x14ac:dyDescent="0.25">
      <c r="A70" t="s">
        <v>17</v>
      </c>
      <c r="B70">
        <v>15</v>
      </c>
      <c r="C70">
        <v>2020</v>
      </c>
      <c r="E70">
        <v>1407006</v>
      </c>
      <c r="H70">
        <v>15785</v>
      </c>
      <c r="I70" s="2"/>
      <c r="J70">
        <f>INDEX('Land Area'!$C:$C,
       MATCH($B70, 'Land Area'!$B:$B, 0))</f>
        <v>6423</v>
      </c>
      <c r="K70" s="2">
        <f t="shared" si="5"/>
        <v>219.05744978981784</v>
      </c>
    </row>
    <row r="71" spans="1:11" x14ac:dyDescent="0.25">
      <c r="A71" t="s">
        <v>17</v>
      </c>
      <c r="B71">
        <v>15</v>
      </c>
      <c r="C71">
        <v>2021</v>
      </c>
      <c r="E71">
        <v>1441553</v>
      </c>
      <c r="H71">
        <v>15620</v>
      </c>
      <c r="I71" s="2"/>
      <c r="J71">
        <f>INDEX('Land Area'!$C:$C,
       MATCH($B71, 'Land Area'!$B:$B, 0))</f>
        <v>6423</v>
      </c>
      <c r="K71" s="2">
        <f t="shared" si="5"/>
        <v>224.43608905495873</v>
      </c>
    </row>
    <row r="72" spans="1:11" x14ac:dyDescent="0.25">
      <c r="A72" t="s">
        <v>17</v>
      </c>
      <c r="B72">
        <v>15</v>
      </c>
      <c r="C72">
        <v>2022</v>
      </c>
      <c r="E72">
        <v>1440196</v>
      </c>
      <c r="H72">
        <v>15535</v>
      </c>
      <c r="I72" s="2"/>
      <c r="J72">
        <f>INDEX('Land Area'!$C:$C,
       MATCH($B72, 'Land Area'!$B:$B, 0))</f>
        <v>6423</v>
      </c>
      <c r="K72" s="2">
        <f t="shared" si="5"/>
        <v>224.22481706367742</v>
      </c>
    </row>
    <row r="73" spans="1:11" x14ac:dyDescent="0.25">
      <c r="A73" t="s">
        <v>17</v>
      </c>
      <c r="B73">
        <v>15</v>
      </c>
      <c r="C73">
        <v>2023</v>
      </c>
      <c r="E73">
        <v>1435138</v>
      </c>
      <c r="H73">
        <v>14808</v>
      </c>
      <c r="I73" s="2"/>
      <c r="J73">
        <f>INDEX('Land Area'!$C:$C,
       MATCH($B73, 'Land Area'!$B:$B, 0))</f>
        <v>6423</v>
      </c>
      <c r="K73" s="2">
        <f t="shared" si="5"/>
        <v>223.43733457885722</v>
      </c>
    </row>
    <row r="74" spans="1:11" x14ac:dyDescent="0.25">
      <c r="A74" t="s">
        <v>18</v>
      </c>
      <c r="B74">
        <v>16</v>
      </c>
      <c r="C74">
        <v>2018</v>
      </c>
      <c r="E74">
        <v>1754208</v>
      </c>
      <c r="H74">
        <v>21403</v>
      </c>
      <c r="I74" s="2"/>
      <c r="J74">
        <f>INDEX('Land Area'!$C:$C,
       MATCH($B74, 'Land Area'!$B:$B, 0))</f>
        <v>82643</v>
      </c>
      <c r="K74" s="2">
        <f t="shared" si="5"/>
        <v>21.226334958798688</v>
      </c>
    </row>
    <row r="75" spans="1:11" x14ac:dyDescent="0.25">
      <c r="A75" t="s">
        <v>18</v>
      </c>
      <c r="B75">
        <v>16</v>
      </c>
      <c r="C75">
        <v>2019</v>
      </c>
      <c r="E75">
        <v>1787065</v>
      </c>
      <c r="H75">
        <v>22063</v>
      </c>
      <c r="I75" s="2"/>
      <c r="J75">
        <f>INDEX('Land Area'!$C:$C,
       MATCH($B75, 'Land Area'!$B:$B, 0))</f>
        <v>82643</v>
      </c>
      <c r="K75" s="2">
        <f t="shared" si="5"/>
        <v>21.623912491076073</v>
      </c>
    </row>
    <row r="76" spans="1:11" x14ac:dyDescent="0.25">
      <c r="A76" t="s">
        <v>18</v>
      </c>
      <c r="B76">
        <v>16</v>
      </c>
      <c r="C76">
        <v>2020</v>
      </c>
      <c r="E76">
        <v>1826913</v>
      </c>
      <c r="H76">
        <v>21533</v>
      </c>
      <c r="I76" s="2"/>
      <c r="J76">
        <f>INDEX('Land Area'!$C:$C,
       MATCH($B76, 'Land Area'!$B:$B, 0))</f>
        <v>82643</v>
      </c>
      <c r="K76" s="2">
        <f t="shared" si="5"/>
        <v>22.10608278983096</v>
      </c>
    </row>
    <row r="77" spans="1:11" x14ac:dyDescent="0.25">
      <c r="A77" t="s">
        <v>18</v>
      </c>
      <c r="B77">
        <v>16</v>
      </c>
      <c r="C77">
        <v>2021</v>
      </c>
      <c r="E77">
        <v>1900923</v>
      </c>
      <c r="H77">
        <v>22427</v>
      </c>
      <c r="I77" s="2"/>
      <c r="J77">
        <f>INDEX('Land Area'!$C:$C,
       MATCH($B77, 'Land Area'!$B:$B, 0))</f>
        <v>82643</v>
      </c>
      <c r="K77" s="2">
        <f t="shared" si="5"/>
        <v>23.001621431942208</v>
      </c>
    </row>
    <row r="78" spans="1:11" x14ac:dyDescent="0.25">
      <c r="A78" t="s">
        <v>18</v>
      </c>
      <c r="B78">
        <v>16</v>
      </c>
      <c r="C78">
        <v>2022</v>
      </c>
      <c r="E78">
        <v>1939033</v>
      </c>
      <c r="H78">
        <v>22391</v>
      </c>
      <c r="I78" s="2"/>
      <c r="J78">
        <f>INDEX('Land Area'!$C:$C,
       MATCH($B78, 'Land Area'!$B:$B, 0))</f>
        <v>82643</v>
      </c>
      <c r="K78" s="2">
        <f t="shared" si="5"/>
        <v>23.462761516401873</v>
      </c>
    </row>
    <row r="79" spans="1:11" x14ac:dyDescent="0.25">
      <c r="A79" t="s">
        <v>18</v>
      </c>
      <c r="B79">
        <v>16</v>
      </c>
      <c r="C79">
        <v>2023</v>
      </c>
      <c r="E79">
        <v>1964726</v>
      </c>
      <c r="H79">
        <v>22397</v>
      </c>
      <c r="I79" s="2"/>
      <c r="J79">
        <f>INDEX('Land Area'!$C:$C,
       MATCH($B79, 'Land Area'!$B:$B, 0))</f>
        <v>82643</v>
      </c>
      <c r="K79" s="2">
        <f t="shared" si="5"/>
        <v>23.773652940962936</v>
      </c>
    </row>
    <row r="80" spans="1:11" x14ac:dyDescent="0.25">
      <c r="A80" t="s">
        <v>19</v>
      </c>
      <c r="B80">
        <v>17</v>
      </c>
      <c r="C80">
        <v>2018</v>
      </c>
      <c r="D80">
        <v>14</v>
      </c>
      <c r="E80">
        <v>12741080</v>
      </c>
      <c r="F80">
        <v>0.1</v>
      </c>
      <c r="G80" t="s">
        <v>5</v>
      </c>
      <c r="H80">
        <v>144815</v>
      </c>
      <c r="I80" s="2">
        <f t="shared" ref="I80:I91" si="6">(D80/H80)*100000</f>
        <v>9.6675068190449895</v>
      </c>
      <c r="J80">
        <f>INDEX('Land Area'!$C:$C,
       MATCH($B80, 'Land Area'!$B:$B, 0))</f>
        <v>55519</v>
      </c>
      <c r="K80" s="2">
        <f t="shared" si="5"/>
        <v>229.4904447126209</v>
      </c>
    </row>
    <row r="81" spans="1:11" x14ac:dyDescent="0.25">
      <c r="A81" t="s">
        <v>19</v>
      </c>
      <c r="B81">
        <v>17</v>
      </c>
      <c r="C81">
        <v>2019</v>
      </c>
      <c r="D81">
        <v>14</v>
      </c>
      <c r="E81">
        <v>12671821</v>
      </c>
      <c r="F81">
        <v>0.1</v>
      </c>
      <c r="G81" t="s">
        <v>5</v>
      </c>
      <c r="H81">
        <v>140128</v>
      </c>
      <c r="I81" s="2">
        <f t="shared" si="6"/>
        <v>9.9908654944051154</v>
      </c>
      <c r="J81">
        <f>INDEX('Land Area'!$C:$C,
       MATCH($B81, 'Land Area'!$B:$B, 0))</f>
        <v>55519</v>
      </c>
      <c r="K81" s="2">
        <f t="shared" si="5"/>
        <v>228.24296186890973</v>
      </c>
    </row>
    <row r="82" spans="1:11" x14ac:dyDescent="0.25">
      <c r="A82" t="s">
        <v>19</v>
      </c>
      <c r="B82">
        <v>17</v>
      </c>
      <c r="C82">
        <v>2020</v>
      </c>
      <c r="D82">
        <v>26</v>
      </c>
      <c r="E82">
        <v>12587530</v>
      </c>
      <c r="F82">
        <v>0.2</v>
      </c>
      <c r="H82">
        <v>133298</v>
      </c>
      <c r="I82" s="2">
        <f t="shared" si="6"/>
        <v>19.505168869750484</v>
      </c>
      <c r="J82">
        <f>INDEX('Land Area'!$C:$C,
       MATCH($B82, 'Land Area'!$B:$B, 0))</f>
        <v>55519</v>
      </c>
      <c r="K82" s="2">
        <f t="shared" si="5"/>
        <v>226.72472486896379</v>
      </c>
    </row>
    <row r="83" spans="1:11" x14ac:dyDescent="0.25">
      <c r="A83" t="s">
        <v>19</v>
      </c>
      <c r="B83">
        <v>17</v>
      </c>
      <c r="C83">
        <v>2021</v>
      </c>
      <c r="D83">
        <v>41</v>
      </c>
      <c r="E83">
        <v>12671469</v>
      </c>
      <c r="F83">
        <v>0.3</v>
      </c>
      <c r="H83">
        <v>132189</v>
      </c>
      <c r="I83" s="2">
        <f t="shared" si="6"/>
        <v>31.016196506517186</v>
      </c>
      <c r="J83">
        <f>INDEX('Land Area'!$C:$C,
       MATCH($B83, 'Land Area'!$B:$B, 0))</f>
        <v>55519</v>
      </c>
      <c r="K83" s="2">
        <f t="shared" si="5"/>
        <v>228.23662169707669</v>
      </c>
    </row>
    <row r="84" spans="1:11" x14ac:dyDescent="0.25">
      <c r="A84" t="s">
        <v>19</v>
      </c>
      <c r="B84">
        <v>17</v>
      </c>
      <c r="C84">
        <v>2022</v>
      </c>
      <c r="D84">
        <v>28</v>
      </c>
      <c r="E84">
        <v>12582032</v>
      </c>
      <c r="F84">
        <v>0.2</v>
      </c>
      <c r="H84">
        <v>128350</v>
      </c>
      <c r="I84" s="2">
        <f t="shared" si="6"/>
        <v>21.815348656018699</v>
      </c>
      <c r="J84">
        <f>INDEX('Land Area'!$C:$C,
       MATCH($B84, 'Land Area'!$B:$B, 0))</f>
        <v>55519</v>
      </c>
      <c r="K84" s="2">
        <f t="shared" si="5"/>
        <v>226.62569570777572</v>
      </c>
    </row>
    <row r="85" spans="1:11" x14ac:dyDescent="0.25">
      <c r="A85" t="s">
        <v>19</v>
      </c>
      <c r="B85">
        <v>17</v>
      </c>
      <c r="C85">
        <v>2023</v>
      </c>
      <c r="D85">
        <v>23</v>
      </c>
      <c r="E85">
        <v>12549689</v>
      </c>
      <c r="F85">
        <v>0.2</v>
      </c>
      <c r="H85">
        <v>124820</v>
      </c>
      <c r="I85" s="2">
        <f t="shared" si="6"/>
        <v>18.426534209261334</v>
      </c>
      <c r="J85">
        <f>INDEX('Land Area'!$C:$C,
       MATCH($B85, 'Land Area'!$B:$B, 0))</f>
        <v>55519</v>
      </c>
      <c r="K85" s="2">
        <f t="shared" si="5"/>
        <v>226.04313838505738</v>
      </c>
    </row>
    <row r="86" spans="1:11" x14ac:dyDescent="0.25">
      <c r="A86" t="s">
        <v>20</v>
      </c>
      <c r="B86">
        <v>18</v>
      </c>
      <c r="C86">
        <v>2018</v>
      </c>
      <c r="D86">
        <v>20</v>
      </c>
      <c r="E86">
        <v>6691878</v>
      </c>
      <c r="F86">
        <v>0.3</v>
      </c>
      <c r="H86">
        <v>81646</v>
      </c>
      <c r="I86" s="2">
        <f t="shared" si="6"/>
        <v>24.495994904833058</v>
      </c>
      <c r="J86">
        <f>INDEX('Land Area'!$C:$C,
       MATCH($B86, 'Land Area'!$B:$B, 0))</f>
        <v>36418</v>
      </c>
      <c r="K86" s="2">
        <f t="shared" si="5"/>
        <v>183.75193585589543</v>
      </c>
    </row>
    <row r="87" spans="1:11" x14ac:dyDescent="0.25">
      <c r="A87" t="s">
        <v>20</v>
      </c>
      <c r="B87">
        <v>18</v>
      </c>
      <c r="C87">
        <v>2019</v>
      </c>
      <c r="D87">
        <v>23</v>
      </c>
      <c r="E87">
        <v>6732219</v>
      </c>
      <c r="F87">
        <v>0.3</v>
      </c>
      <c r="H87">
        <v>80859</v>
      </c>
      <c r="I87" s="2">
        <f t="shared" si="6"/>
        <v>28.444576361320326</v>
      </c>
      <c r="J87">
        <f>INDEX('Land Area'!$C:$C,
       MATCH($B87, 'Land Area'!$B:$B, 0))</f>
        <v>36418</v>
      </c>
      <c r="K87" s="2">
        <f t="shared" si="5"/>
        <v>184.85965731231809</v>
      </c>
    </row>
    <row r="88" spans="1:11" x14ac:dyDescent="0.25">
      <c r="A88" t="s">
        <v>20</v>
      </c>
      <c r="B88">
        <v>18</v>
      </c>
      <c r="C88">
        <v>2020</v>
      </c>
      <c r="D88">
        <v>25</v>
      </c>
      <c r="E88">
        <v>6754953</v>
      </c>
      <c r="F88">
        <v>0.4</v>
      </c>
      <c r="H88">
        <v>78616</v>
      </c>
      <c r="I88" s="2">
        <f t="shared" si="6"/>
        <v>31.800142464638238</v>
      </c>
      <c r="J88">
        <f>INDEX('Land Area'!$C:$C,
       MATCH($B88, 'Land Area'!$B:$B, 0))</f>
        <v>36418</v>
      </c>
      <c r="K88" s="2">
        <f t="shared" si="5"/>
        <v>185.48390905596133</v>
      </c>
    </row>
    <row r="89" spans="1:11" x14ac:dyDescent="0.25">
      <c r="A89" t="s">
        <v>20</v>
      </c>
      <c r="B89">
        <v>18</v>
      </c>
      <c r="C89">
        <v>2021</v>
      </c>
      <c r="D89">
        <v>32</v>
      </c>
      <c r="E89">
        <v>6805985</v>
      </c>
      <c r="F89">
        <v>0.5</v>
      </c>
      <c r="H89">
        <v>79946</v>
      </c>
      <c r="I89" s="2">
        <f t="shared" si="6"/>
        <v>40.027018237310187</v>
      </c>
      <c r="J89">
        <f>INDEX('Land Area'!$C:$C,
       MATCH($B89, 'Land Area'!$B:$B, 0))</f>
        <v>36418</v>
      </c>
      <c r="K89" s="2">
        <f t="shared" si="5"/>
        <v>186.88519413476851</v>
      </c>
    </row>
    <row r="90" spans="1:11" x14ac:dyDescent="0.25">
      <c r="A90" t="s">
        <v>20</v>
      </c>
      <c r="B90">
        <v>18</v>
      </c>
      <c r="C90">
        <v>2022</v>
      </c>
      <c r="D90">
        <v>24</v>
      </c>
      <c r="E90">
        <v>6833037</v>
      </c>
      <c r="F90">
        <v>0.4</v>
      </c>
      <c r="H90">
        <v>79649</v>
      </c>
      <c r="I90" s="2">
        <f t="shared" si="6"/>
        <v>30.132205049655365</v>
      </c>
      <c r="J90">
        <f>INDEX('Land Area'!$C:$C,
       MATCH($B90, 'Land Area'!$B:$B, 0))</f>
        <v>36418</v>
      </c>
      <c r="K90" s="2">
        <f t="shared" si="5"/>
        <v>187.62801361963864</v>
      </c>
    </row>
    <row r="91" spans="1:11" x14ac:dyDescent="0.25">
      <c r="A91" t="s">
        <v>20</v>
      </c>
      <c r="B91">
        <v>18</v>
      </c>
      <c r="C91">
        <v>2023</v>
      </c>
      <c r="D91">
        <v>21</v>
      </c>
      <c r="E91">
        <v>6862199</v>
      </c>
      <c r="F91">
        <v>0.3</v>
      </c>
      <c r="H91">
        <v>79000</v>
      </c>
      <c r="I91" s="2">
        <f t="shared" si="6"/>
        <v>26.582278481012658</v>
      </c>
      <c r="J91">
        <f>INDEX('Land Area'!$C:$C,
       MATCH($B91, 'Land Area'!$B:$B, 0))</f>
        <v>36418</v>
      </c>
      <c r="K91" s="2">
        <f t="shared" si="5"/>
        <v>188.42877148662748</v>
      </c>
    </row>
    <row r="92" spans="1:11" x14ac:dyDescent="0.25">
      <c r="A92" t="s">
        <v>21</v>
      </c>
      <c r="B92">
        <v>19</v>
      </c>
      <c r="C92">
        <v>2018</v>
      </c>
      <c r="E92">
        <v>3156145</v>
      </c>
      <c r="H92">
        <v>37785</v>
      </c>
      <c r="I92" s="2"/>
      <c r="J92">
        <f>INDEX('Land Area'!$C:$C,
       MATCH($B92, 'Land Area'!$B:$B, 0))</f>
        <v>55857</v>
      </c>
      <c r="K92" s="2">
        <f t="shared" si="5"/>
        <v>56.504019191864941</v>
      </c>
    </row>
    <row r="93" spans="1:11" x14ac:dyDescent="0.25">
      <c r="A93" t="s">
        <v>21</v>
      </c>
      <c r="B93">
        <v>19</v>
      </c>
      <c r="C93">
        <v>2019</v>
      </c>
      <c r="E93">
        <v>3155070</v>
      </c>
      <c r="H93">
        <v>37649</v>
      </c>
      <c r="I93" s="2"/>
      <c r="J93">
        <f>INDEX('Land Area'!$C:$C,
       MATCH($B93, 'Land Area'!$B:$B, 0))</f>
        <v>55857</v>
      </c>
      <c r="K93" s="2">
        <f t="shared" si="5"/>
        <v>56.48477361834685</v>
      </c>
    </row>
    <row r="94" spans="1:11" x14ac:dyDescent="0.25">
      <c r="A94" t="s">
        <v>21</v>
      </c>
      <c r="B94">
        <v>19</v>
      </c>
      <c r="C94">
        <v>2020</v>
      </c>
      <c r="E94">
        <v>3163561</v>
      </c>
      <c r="H94">
        <v>36114</v>
      </c>
      <c r="I94" s="2"/>
      <c r="J94">
        <f>INDEX('Land Area'!$C:$C,
       MATCH($B94, 'Land Area'!$B:$B, 0))</f>
        <v>55857</v>
      </c>
      <c r="K94" s="2">
        <f t="shared" si="5"/>
        <v>56.63678679485114</v>
      </c>
    </row>
    <row r="95" spans="1:11" x14ac:dyDescent="0.25">
      <c r="A95" t="s">
        <v>21</v>
      </c>
      <c r="B95">
        <v>19</v>
      </c>
      <c r="C95">
        <v>2021</v>
      </c>
      <c r="D95">
        <v>16</v>
      </c>
      <c r="E95">
        <v>3193079</v>
      </c>
      <c r="F95">
        <v>0.5</v>
      </c>
      <c r="G95" t="s">
        <v>5</v>
      </c>
      <c r="H95">
        <v>36835</v>
      </c>
      <c r="I95" s="2">
        <f>(D95/H95)*100000</f>
        <v>43.436948554364058</v>
      </c>
      <c r="J95">
        <f>INDEX('Land Area'!$C:$C,
       MATCH($B95, 'Land Area'!$B:$B, 0))</f>
        <v>55857</v>
      </c>
      <c r="K95" s="2">
        <f t="shared" si="5"/>
        <v>57.16524338936928</v>
      </c>
    </row>
    <row r="96" spans="1:11" x14ac:dyDescent="0.25">
      <c r="A96" t="s">
        <v>21</v>
      </c>
      <c r="B96">
        <v>19</v>
      </c>
      <c r="C96">
        <v>2022</v>
      </c>
      <c r="E96">
        <v>3200517</v>
      </c>
      <c r="H96">
        <v>36506</v>
      </c>
      <c r="I96" s="2"/>
      <c r="J96">
        <f>INDEX('Land Area'!$C:$C,
       MATCH($B96, 'Land Area'!$B:$B, 0))</f>
        <v>55857</v>
      </c>
      <c r="K96" s="2">
        <f t="shared" si="5"/>
        <v>57.298404855255384</v>
      </c>
    </row>
    <row r="97" spans="1:11" x14ac:dyDescent="0.25">
      <c r="A97" t="s">
        <v>21</v>
      </c>
      <c r="B97">
        <v>19</v>
      </c>
      <c r="C97">
        <v>2023</v>
      </c>
      <c r="E97">
        <v>3207004</v>
      </c>
      <c r="H97">
        <v>36052</v>
      </c>
      <c r="I97" s="2"/>
      <c r="J97">
        <f>INDEX('Land Area'!$C:$C,
       MATCH($B97, 'Land Area'!$B:$B, 0))</f>
        <v>55857</v>
      </c>
      <c r="K97" s="2">
        <f t="shared" si="5"/>
        <v>57.414540702150134</v>
      </c>
    </row>
    <row r="98" spans="1:11" x14ac:dyDescent="0.25">
      <c r="A98" t="s">
        <v>22</v>
      </c>
      <c r="B98">
        <v>20</v>
      </c>
      <c r="C98">
        <v>2018</v>
      </c>
      <c r="E98">
        <v>2911505</v>
      </c>
      <c r="H98">
        <v>36261</v>
      </c>
      <c r="I98" s="2"/>
      <c r="J98">
        <f>INDEX('Land Area'!$C:$C,
       MATCH($B98, 'Land Area'!$B:$B, 0))</f>
        <v>81759</v>
      </c>
      <c r="K98" s="2">
        <f t="shared" si="5"/>
        <v>35.610819603957971</v>
      </c>
    </row>
    <row r="99" spans="1:11" x14ac:dyDescent="0.25">
      <c r="A99" t="s">
        <v>22</v>
      </c>
      <c r="B99">
        <v>20</v>
      </c>
      <c r="C99">
        <v>2019</v>
      </c>
      <c r="E99">
        <v>2913314</v>
      </c>
      <c r="H99">
        <v>35395</v>
      </c>
      <c r="I99" s="2"/>
      <c r="J99">
        <f>INDEX('Land Area'!$C:$C,
       MATCH($B99, 'Land Area'!$B:$B, 0))</f>
        <v>81759</v>
      </c>
      <c r="K99" s="2">
        <f t="shared" si="5"/>
        <v>35.632945608434547</v>
      </c>
    </row>
    <row r="100" spans="1:11" x14ac:dyDescent="0.25">
      <c r="A100" t="s">
        <v>22</v>
      </c>
      <c r="B100">
        <v>20</v>
      </c>
      <c r="C100">
        <v>2020</v>
      </c>
      <c r="D100">
        <v>10</v>
      </c>
      <c r="E100">
        <v>2913805</v>
      </c>
      <c r="F100">
        <v>0.3</v>
      </c>
      <c r="G100" t="s">
        <v>5</v>
      </c>
      <c r="H100">
        <v>34376</v>
      </c>
      <c r="I100" s="2">
        <f>(D100/H100)*100000</f>
        <v>29.090062834535722</v>
      </c>
      <c r="J100">
        <f>INDEX('Land Area'!$C:$C,
       MATCH($B100, 'Land Area'!$B:$B, 0))</f>
        <v>81759</v>
      </c>
      <c r="K100" s="2">
        <f t="shared" si="5"/>
        <v>35.638951063491483</v>
      </c>
    </row>
    <row r="101" spans="1:11" x14ac:dyDescent="0.25">
      <c r="A101" t="s">
        <v>22</v>
      </c>
      <c r="B101">
        <v>20</v>
      </c>
      <c r="C101">
        <v>2021</v>
      </c>
      <c r="E101">
        <v>2934582</v>
      </c>
      <c r="H101">
        <v>34705</v>
      </c>
      <c r="I101" s="2"/>
      <c r="J101">
        <f>INDEX('Land Area'!$C:$C,
       MATCH($B101, 'Land Area'!$B:$B, 0))</f>
        <v>81759</v>
      </c>
      <c r="K101" s="2">
        <f t="shared" si="5"/>
        <v>35.89307599163395</v>
      </c>
    </row>
    <row r="102" spans="1:11" x14ac:dyDescent="0.25">
      <c r="A102" t="s">
        <v>22</v>
      </c>
      <c r="B102">
        <v>20</v>
      </c>
      <c r="C102">
        <v>2022</v>
      </c>
      <c r="E102">
        <v>2937150</v>
      </c>
      <c r="H102">
        <v>34401</v>
      </c>
      <c r="I102" s="2"/>
      <c r="J102">
        <f>INDEX('Land Area'!$C:$C,
       MATCH($B102, 'Land Area'!$B:$B, 0))</f>
        <v>81759</v>
      </c>
      <c r="K102" s="2">
        <f t="shared" si="5"/>
        <v>35.924485377756575</v>
      </c>
    </row>
    <row r="103" spans="1:11" x14ac:dyDescent="0.25">
      <c r="A103" t="s">
        <v>22</v>
      </c>
      <c r="B103">
        <v>20</v>
      </c>
      <c r="C103">
        <v>2023</v>
      </c>
      <c r="E103">
        <v>2940546</v>
      </c>
      <c r="H103">
        <v>34065</v>
      </c>
      <c r="I103" s="2"/>
      <c r="J103">
        <f>INDEX('Land Area'!$C:$C,
       MATCH($B103, 'Land Area'!$B:$B, 0))</f>
        <v>81759</v>
      </c>
      <c r="K103" s="2">
        <f t="shared" si="5"/>
        <v>35.966022089311267</v>
      </c>
    </row>
    <row r="104" spans="1:11" x14ac:dyDescent="0.25">
      <c r="A104" t="s">
        <v>23</v>
      </c>
      <c r="B104">
        <v>21</v>
      </c>
      <c r="C104">
        <v>2018</v>
      </c>
      <c r="D104">
        <v>22</v>
      </c>
      <c r="E104">
        <v>4468402</v>
      </c>
      <c r="F104">
        <v>0.5</v>
      </c>
      <c r="H104">
        <v>53922</v>
      </c>
      <c r="I104" s="2">
        <f t="shared" ref="I104:I117" si="7">(D104/H104)*100000</f>
        <v>40.799673602611179</v>
      </c>
      <c r="J104">
        <f>INDEX('Land Area'!$C:$C,
       MATCH($B104, 'Land Area'!$B:$B, 0))</f>
        <v>39736</v>
      </c>
      <c r="K104" s="2">
        <f t="shared" si="5"/>
        <v>112.45223474934568</v>
      </c>
    </row>
    <row r="105" spans="1:11" x14ac:dyDescent="0.25">
      <c r="A105" t="s">
        <v>23</v>
      </c>
      <c r="B105">
        <v>21</v>
      </c>
      <c r="C105">
        <v>2019</v>
      </c>
      <c r="D105">
        <v>20</v>
      </c>
      <c r="E105">
        <v>4467673</v>
      </c>
      <c r="F105">
        <v>0.4</v>
      </c>
      <c r="H105">
        <v>53069</v>
      </c>
      <c r="I105" s="2">
        <f t="shared" si="7"/>
        <v>37.68678512879459</v>
      </c>
      <c r="J105">
        <f>INDEX('Land Area'!$C:$C,
       MATCH($B105, 'Land Area'!$B:$B, 0))</f>
        <v>39736</v>
      </c>
      <c r="K105" s="2">
        <f t="shared" si="5"/>
        <v>112.43388866519025</v>
      </c>
    </row>
    <row r="106" spans="1:11" x14ac:dyDescent="0.25">
      <c r="A106" t="s">
        <v>23</v>
      </c>
      <c r="B106">
        <v>21</v>
      </c>
      <c r="C106">
        <v>2020</v>
      </c>
      <c r="D106">
        <v>21</v>
      </c>
      <c r="E106">
        <v>4477251</v>
      </c>
      <c r="F106">
        <v>0.5</v>
      </c>
      <c r="H106">
        <v>51668</v>
      </c>
      <c r="I106" s="2">
        <f t="shared" si="7"/>
        <v>40.644112410002322</v>
      </c>
      <c r="J106">
        <f>INDEX('Land Area'!$C:$C,
       MATCH($B106, 'Land Area'!$B:$B, 0))</f>
        <v>39736</v>
      </c>
      <c r="K106" s="2">
        <f t="shared" si="5"/>
        <v>112.67492953493054</v>
      </c>
    </row>
    <row r="107" spans="1:11" x14ac:dyDescent="0.25">
      <c r="A107" t="s">
        <v>23</v>
      </c>
      <c r="B107">
        <v>21</v>
      </c>
      <c r="C107">
        <v>2021</v>
      </c>
      <c r="D107">
        <v>18</v>
      </c>
      <c r="E107">
        <v>4509394</v>
      </c>
      <c r="F107">
        <v>0.4</v>
      </c>
      <c r="G107" t="s">
        <v>5</v>
      </c>
      <c r="H107">
        <v>52214</v>
      </c>
      <c r="I107" s="2">
        <f t="shared" si="7"/>
        <v>34.473512850959516</v>
      </c>
      <c r="J107">
        <f>INDEX('Land Area'!$C:$C,
       MATCH($B107, 'Land Area'!$B:$B, 0))</f>
        <v>39736</v>
      </c>
      <c r="K107" s="2">
        <f t="shared" si="5"/>
        <v>113.48384336621703</v>
      </c>
    </row>
    <row r="108" spans="1:11" x14ac:dyDescent="0.25">
      <c r="A108" t="s">
        <v>23</v>
      </c>
      <c r="B108">
        <v>21</v>
      </c>
      <c r="C108">
        <v>2022</v>
      </c>
      <c r="D108">
        <v>10</v>
      </c>
      <c r="E108">
        <v>4512310</v>
      </c>
      <c r="F108">
        <v>0.2</v>
      </c>
      <c r="G108" t="s">
        <v>5</v>
      </c>
      <c r="H108">
        <v>52315</v>
      </c>
      <c r="I108" s="2">
        <f t="shared" si="7"/>
        <v>19.114976584153684</v>
      </c>
      <c r="J108">
        <f>INDEX('Land Area'!$C:$C,
       MATCH($B108, 'Land Area'!$B:$B, 0))</f>
        <v>39736</v>
      </c>
      <c r="K108" s="2">
        <f t="shared" si="5"/>
        <v>113.55722770283873</v>
      </c>
    </row>
    <row r="109" spans="1:11" x14ac:dyDescent="0.25">
      <c r="A109" t="s">
        <v>23</v>
      </c>
      <c r="B109">
        <v>21</v>
      </c>
      <c r="C109">
        <v>2023</v>
      </c>
      <c r="D109">
        <v>13</v>
      </c>
      <c r="E109">
        <v>4526154</v>
      </c>
      <c r="F109">
        <v>0.3</v>
      </c>
      <c r="G109" t="s">
        <v>5</v>
      </c>
      <c r="H109">
        <v>51984</v>
      </c>
      <c r="I109" s="2">
        <f t="shared" si="7"/>
        <v>25.007694675284704</v>
      </c>
      <c r="J109">
        <f>INDEX('Land Area'!$C:$C,
       MATCH($B109, 'Land Area'!$B:$B, 0))</f>
        <v>39736</v>
      </c>
      <c r="K109" s="2">
        <f t="shared" si="5"/>
        <v>113.90562713911818</v>
      </c>
    </row>
    <row r="110" spans="1:11" x14ac:dyDescent="0.25">
      <c r="A110" t="s">
        <v>24</v>
      </c>
      <c r="B110">
        <v>22</v>
      </c>
      <c r="C110">
        <v>2018</v>
      </c>
      <c r="D110">
        <v>15</v>
      </c>
      <c r="E110">
        <v>4659978</v>
      </c>
      <c r="F110">
        <v>0.3</v>
      </c>
      <c r="G110" t="s">
        <v>5</v>
      </c>
      <c r="H110">
        <v>59615</v>
      </c>
      <c r="I110" s="2">
        <f t="shared" si="7"/>
        <v>25.161452654533257</v>
      </c>
      <c r="J110">
        <f>INDEX('Land Area'!$C:$C,
       MATCH($B110, 'Land Area'!$B:$B, 0))</f>
        <v>43204</v>
      </c>
      <c r="K110" s="2">
        <f t="shared" si="5"/>
        <v>107.8598740857328</v>
      </c>
    </row>
    <row r="111" spans="1:11" x14ac:dyDescent="0.25">
      <c r="A111" t="s">
        <v>24</v>
      </c>
      <c r="B111">
        <v>22</v>
      </c>
      <c r="C111">
        <v>2019</v>
      </c>
      <c r="D111">
        <v>20</v>
      </c>
      <c r="E111">
        <v>4648794</v>
      </c>
      <c r="F111">
        <v>0.4</v>
      </c>
      <c r="H111">
        <v>58941</v>
      </c>
      <c r="I111" s="2">
        <f t="shared" si="7"/>
        <v>33.932237322067827</v>
      </c>
      <c r="J111">
        <f>INDEX('Land Area'!$C:$C,
       MATCH($B111, 'Land Area'!$B:$B, 0))</f>
        <v>43204</v>
      </c>
      <c r="K111" s="2">
        <f t="shared" si="5"/>
        <v>107.60100916581798</v>
      </c>
    </row>
    <row r="112" spans="1:11" x14ac:dyDescent="0.25">
      <c r="A112" t="s">
        <v>24</v>
      </c>
      <c r="B112">
        <v>22</v>
      </c>
      <c r="C112">
        <v>2020</v>
      </c>
      <c r="D112">
        <v>21</v>
      </c>
      <c r="E112">
        <v>4645318</v>
      </c>
      <c r="F112">
        <v>0.5</v>
      </c>
      <c r="H112">
        <v>57328</v>
      </c>
      <c r="I112" s="2">
        <f t="shared" si="7"/>
        <v>36.631314540887523</v>
      </c>
      <c r="J112">
        <f>INDEX('Land Area'!$C:$C,
       MATCH($B112, 'Land Area'!$B:$B, 0))</f>
        <v>43204</v>
      </c>
      <c r="K112" s="2">
        <f t="shared" si="5"/>
        <v>107.52055365243959</v>
      </c>
    </row>
    <row r="113" spans="1:11" x14ac:dyDescent="0.25">
      <c r="A113" t="s">
        <v>24</v>
      </c>
      <c r="B113">
        <v>22</v>
      </c>
      <c r="C113">
        <v>2021</v>
      </c>
      <c r="D113">
        <v>35</v>
      </c>
      <c r="E113">
        <v>4624047</v>
      </c>
      <c r="F113">
        <v>0.8</v>
      </c>
      <c r="H113">
        <v>57437</v>
      </c>
      <c r="I113" s="2">
        <f t="shared" si="7"/>
        <v>60.936330240089148</v>
      </c>
      <c r="J113">
        <f>INDEX('Land Area'!$C:$C,
       MATCH($B113, 'Land Area'!$B:$B, 0))</f>
        <v>43204</v>
      </c>
      <c r="K113" s="2">
        <f t="shared" si="5"/>
        <v>107.02821498009443</v>
      </c>
    </row>
    <row r="114" spans="1:11" x14ac:dyDescent="0.25">
      <c r="A114" t="s">
        <v>24</v>
      </c>
      <c r="B114">
        <v>22</v>
      </c>
      <c r="C114">
        <v>2022</v>
      </c>
      <c r="D114">
        <v>17</v>
      </c>
      <c r="E114">
        <v>4590241</v>
      </c>
      <c r="F114">
        <v>0.4</v>
      </c>
      <c r="G114" t="s">
        <v>5</v>
      </c>
      <c r="H114">
        <v>56479</v>
      </c>
      <c r="I114" s="2">
        <f t="shared" si="7"/>
        <v>30.099683068042985</v>
      </c>
      <c r="J114">
        <f>INDEX('Land Area'!$C:$C,
       MATCH($B114, 'Land Area'!$B:$B, 0))</f>
        <v>43204</v>
      </c>
      <c r="K114" s="2">
        <f t="shared" si="5"/>
        <v>106.24574113508008</v>
      </c>
    </row>
    <row r="115" spans="1:11" x14ac:dyDescent="0.25">
      <c r="A115" t="s">
        <v>24</v>
      </c>
      <c r="B115">
        <v>22</v>
      </c>
      <c r="C115">
        <v>2023</v>
      </c>
      <c r="D115">
        <v>23</v>
      </c>
      <c r="E115">
        <v>4573749</v>
      </c>
      <c r="F115">
        <v>0.5</v>
      </c>
      <c r="H115">
        <v>54927</v>
      </c>
      <c r="I115" s="2">
        <f t="shared" si="7"/>
        <v>41.87375971744315</v>
      </c>
      <c r="J115">
        <f>INDEX('Land Area'!$C:$C,
       MATCH($B115, 'Land Area'!$B:$B, 0))</f>
        <v>43204</v>
      </c>
      <c r="K115" s="2">
        <f t="shared" si="5"/>
        <v>105.86401722062772</v>
      </c>
    </row>
    <row r="116" spans="1:11" x14ac:dyDescent="0.25">
      <c r="A116" t="s">
        <v>25</v>
      </c>
      <c r="B116">
        <v>23</v>
      </c>
      <c r="C116">
        <v>2018</v>
      </c>
      <c r="D116">
        <v>0</v>
      </c>
      <c r="E116">
        <v>1338404</v>
      </c>
      <c r="F116">
        <v>0</v>
      </c>
      <c r="G116" t="s">
        <v>5</v>
      </c>
      <c r="H116">
        <v>12311</v>
      </c>
      <c r="I116" s="2">
        <f t="shared" si="7"/>
        <v>0</v>
      </c>
      <c r="J116">
        <f>INDEX('Land Area'!$C:$C,
       MATCH($B116, 'Land Area'!$B:$B, 0))</f>
        <v>30843</v>
      </c>
      <c r="K116" s="2">
        <f t="shared" si="5"/>
        <v>43.394092662840841</v>
      </c>
    </row>
    <row r="117" spans="1:11" x14ac:dyDescent="0.25">
      <c r="A117" t="s">
        <v>25</v>
      </c>
      <c r="B117">
        <v>23</v>
      </c>
      <c r="C117">
        <v>2019</v>
      </c>
      <c r="D117">
        <v>0</v>
      </c>
      <c r="E117">
        <v>1344212</v>
      </c>
      <c r="F117">
        <v>0</v>
      </c>
      <c r="G117" t="s">
        <v>5</v>
      </c>
      <c r="H117">
        <v>11779</v>
      </c>
      <c r="I117" s="2">
        <f t="shared" si="7"/>
        <v>0</v>
      </c>
      <c r="J117">
        <f>INDEX('Land Area'!$C:$C,
       MATCH($B117, 'Land Area'!$B:$B, 0))</f>
        <v>30843</v>
      </c>
      <c r="K117" s="2">
        <f t="shared" si="5"/>
        <v>43.582401193139447</v>
      </c>
    </row>
    <row r="118" spans="1:11" x14ac:dyDescent="0.25">
      <c r="A118" t="s">
        <v>25</v>
      </c>
      <c r="B118">
        <v>23</v>
      </c>
      <c r="C118">
        <v>2020</v>
      </c>
      <c r="E118">
        <v>1350141</v>
      </c>
      <c r="H118">
        <v>11539</v>
      </c>
      <c r="I118" s="2"/>
      <c r="J118">
        <f>INDEX('Land Area'!$C:$C,
       MATCH($B118, 'Land Area'!$B:$B, 0))</f>
        <v>30843</v>
      </c>
      <c r="K118" s="2">
        <f t="shared" si="5"/>
        <v>43.774632817819281</v>
      </c>
    </row>
    <row r="119" spans="1:11" x14ac:dyDescent="0.25">
      <c r="A119" t="s">
        <v>25</v>
      </c>
      <c r="B119">
        <v>23</v>
      </c>
      <c r="C119">
        <v>2021</v>
      </c>
      <c r="E119">
        <v>1372247</v>
      </c>
      <c r="H119">
        <v>12006</v>
      </c>
      <c r="I119" s="2"/>
      <c r="J119">
        <f>INDEX('Land Area'!$C:$C,
       MATCH($B119, 'Land Area'!$B:$B, 0))</f>
        <v>30843</v>
      </c>
      <c r="K119" s="2">
        <f t="shared" si="5"/>
        <v>44.491359465681029</v>
      </c>
    </row>
    <row r="120" spans="1:11" x14ac:dyDescent="0.25">
      <c r="A120" t="s">
        <v>25</v>
      </c>
      <c r="B120">
        <v>23</v>
      </c>
      <c r="C120">
        <v>2022</v>
      </c>
      <c r="E120">
        <v>1385340</v>
      </c>
      <c r="H120">
        <v>12093</v>
      </c>
      <c r="I120" s="2"/>
      <c r="J120">
        <f>INDEX('Land Area'!$C:$C,
       MATCH($B120, 'Land Area'!$B:$B, 0))</f>
        <v>30843</v>
      </c>
      <c r="K120" s="2">
        <f t="shared" si="5"/>
        <v>44.915864215543237</v>
      </c>
    </row>
    <row r="121" spans="1:11" x14ac:dyDescent="0.25">
      <c r="A121" t="s">
        <v>25</v>
      </c>
      <c r="B121">
        <v>23</v>
      </c>
      <c r="C121">
        <v>2023</v>
      </c>
      <c r="E121">
        <v>1395722</v>
      </c>
      <c r="H121">
        <v>11627</v>
      </c>
      <c r="I121" s="2"/>
      <c r="J121">
        <f>INDEX('Land Area'!$C:$C,
       MATCH($B121, 'Land Area'!$B:$B, 0))</f>
        <v>30843</v>
      </c>
      <c r="K121" s="2">
        <f t="shared" si="5"/>
        <v>45.252472197905519</v>
      </c>
    </row>
    <row r="122" spans="1:11" x14ac:dyDescent="0.25">
      <c r="A122" t="s">
        <v>26</v>
      </c>
      <c r="B122">
        <v>24</v>
      </c>
      <c r="C122">
        <v>2018</v>
      </c>
      <c r="D122">
        <v>10</v>
      </c>
      <c r="E122">
        <v>6042718</v>
      </c>
      <c r="F122">
        <v>0.2</v>
      </c>
      <c r="G122" t="s">
        <v>5</v>
      </c>
      <c r="H122">
        <v>71080</v>
      </c>
      <c r="I122" s="2">
        <f>(D122/H122)*100000</f>
        <v>14.068655036578503</v>
      </c>
      <c r="J122">
        <f>INDEX('Land Area'!$C:$C,
       MATCH($B122, 'Land Area'!$B:$B, 0))</f>
        <v>9707</v>
      </c>
      <c r="K122" s="2">
        <f t="shared" si="5"/>
        <v>622.51138353765327</v>
      </c>
    </row>
    <row r="123" spans="1:11" x14ac:dyDescent="0.25">
      <c r="A123" t="s">
        <v>26</v>
      </c>
      <c r="B123">
        <v>24</v>
      </c>
      <c r="C123">
        <v>2019</v>
      </c>
      <c r="D123">
        <v>15</v>
      </c>
      <c r="E123">
        <v>6045680</v>
      </c>
      <c r="F123">
        <v>0.2</v>
      </c>
      <c r="G123" t="s">
        <v>5</v>
      </c>
      <c r="H123">
        <v>70178</v>
      </c>
      <c r="I123" s="2">
        <f>(D123/H123)*100000</f>
        <v>21.374219840975805</v>
      </c>
      <c r="J123">
        <f>INDEX('Land Area'!$C:$C,
       MATCH($B123, 'Land Area'!$B:$B, 0))</f>
        <v>9707</v>
      </c>
      <c r="K123" s="2">
        <f t="shared" si="5"/>
        <v>622.81652415782423</v>
      </c>
    </row>
    <row r="124" spans="1:11" x14ac:dyDescent="0.25">
      <c r="A124" t="s">
        <v>26</v>
      </c>
      <c r="B124">
        <v>24</v>
      </c>
      <c r="C124">
        <v>2020</v>
      </c>
      <c r="D124">
        <v>14</v>
      </c>
      <c r="E124">
        <v>6055802</v>
      </c>
      <c r="F124">
        <v>0.2</v>
      </c>
      <c r="G124" t="s">
        <v>5</v>
      </c>
      <c r="H124">
        <v>68554</v>
      </c>
      <c r="I124" s="2">
        <f>(D124/H124)*100000</f>
        <v>20.421857222043936</v>
      </c>
      <c r="J124">
        <f>INDEX('Land Area'!$C:$C,
       MATCH($B124, 'Land Area'!$B:$B, 0))</f>
        <v>9707</v>
      </c>
      <c r="K124" s="2">
        <f t="shared" si="5"/>
        <v>623.85927681054909</v>
      </c>
    </row>
    <row r="125" spans="1:11" x14ac:dyDescent="0.25">
      <c r="A125" t="s">
        <v>26</v>
      </c>
      <c r="B125">
        <v>24</v>
      </c>
      <c r="C125">
        <v>2021</v>
      </c>
      <c r="D125">
        <v>20</v>
      </c>
      <c r="E125">
        <v>6165129</v>
      </c>
      <c r="F125">
        <v>0.3</v>
      </c>
      <c r="H125">
        <v>68285</v>
      </c>
      <c r="I125" s="2">
        <f>(D125/H125)*100000</f>
        <v>29.289009299260453</v>
      </c>
      <c r="J125">
        <f>INDEX('Land Area'!$C:$C,
       MATCH($B125, 'Land Area'!$B:$B, 0))</f>
        <v>9707</v>
      </c>
      <c r="K125" s="2">
        <f t="shared" si="5"/>
        <v>635.12197383331613</v>
      </c>
    </row>
    <row r="126" spans="1:11" x14ac:dyDescent="0.25">
      <c r="A126" t="s">
        <v>26</v>
      </c>
      <c r="B126">
        <v>24</v>
      </c>
      <c r="C126">
        <v>2022</v>
      </c>
      <c r="D126">
        <v>15</v>
      </c>
      <c r="E126">
        <v>6164660</v>
      </c>
      <c r="F126">
        <v>0.2</v>
      </c>
      <c r="G126" t="s">
        <v>5</v>
      </c>
      <c r="H126">
        <v>68782</v>
      </c>
      <c r="I126" s="2">
        <f>(D126/H126)*100000</f>
        <v>21.808031170945885</v>
      </c>
      <c r="J126">
        <f>INDEX('Land Area'!$C:$C,
       MATCH($B126, 'Land Area'!$B:$B, 0))</f>
        <v>9707</v>
      </c>
      <c r="K126" s="2">
        <f t="shared" si="5"/>
        <v>635.07365818481503</v>
      </c>
    </row>
    <row r="127" spans="1:11" x14ac:dyDescent="0.25">
      <c r="A127" t="s">
        <v>26</v>
      </c>
      <c r="B127">
        <v>24</v>
      </c>
      <c r="C127">
        <v>2023</v>
      </c>
      <c r="E127">
        <v>6180253</v>
      </c>
      <c r="H127">
        <v>65594</v>
      </c>
      <c r="I127" s="2"/>
      <c r="J127">
        <f>INDEX('Land Area'!$C:$C,
       MATCH($B127, 'Land Area'!$B:$B, 0))</f>
        <v>9707</v>
      </c>
      <c r="K127" s="2">
        <f t="shared" si="5"/>
        <v>636.68002472442572</v>
      </c>
    </row>
    <row r="128" spans="1:11" x14ac:dyDescent="0.25">
      <c r="A128" t="s">
        <v>27</v>
      </c>
      <c r="B128">
        <v>25</v>
      </c>
      <c r="C128">
        <v>2018</v>
      </c>
      <c r="D128">
        <v>12</v>
      </c>
      <c r="E128">
        <v>6902149</v>
      </c>
      <c r="F128">
        <v>0.2</v>
      </c>
      <c r="G128" t="s">
        <v>5</v>
      </c>
      <c r="H128">
        <v>69109</v>
      </c>
      <c r="I128" s="2">
        <f>(D128/H128)*100000</f>
        <v>17.363874459187659</v>
      </c>
      <c r="J128">
        <f>INDEX('Land Area'!$C:$C,
       MATCH($B128, 'Land Area'!$B:$B, 0))</f>
        <v>7800</v>
      </c>
      <c r="K128" s="2">
        <f t="shared" si="5"/>
        <v>884.89089743589739</v>
      </c>
    </row>
    <row r="129" spans="1:11" x14ac:dyDescent="0.25">
      <c r="A129" t="s">
        <v>27</v>
      </c>
      <c r="B129">
        <v>25</v>
      </c>
      <c r="C129">
        <v>2019</v>
      </c>
      <c r="E129">
        <v>6892503</v>
      </c>
      <c r="H129">
        <v>69117</v>
      </c>
      <c r="I129" s="2"/>
      <c r="J129">
        <f>INDEX('Land Area'!$C:$C,
       MATCH($B129, 'Land Area'!$B:$B, 0))</f>
        <v>7800</v>
      </c>
      <c r="K129" s="2">
        <f t="shared" si="5"/>
        <v>883.65423076923082</v>
      </c>
    </row>
    <row r="130" spans="1:11" x14ac:dyDescent="0.25">
      <c r="A130" t="s">
        <v>27</v>
      </c>
      <c r="B130">
        <v>25</v>
      </c>
      <c r="C130">
        <v>2020</v>
      </c>
      <c r="D130">
        <v>12</v>
      </c>
      <c r="E130">
        <v>6893574</v>
      </c>
      <c r="F130">
        <v>0.2</v>
      </c>
      <c r="G130" t="s">
        <v>5</v>
      </c>
      <c r="H130">
        <v>66428</v>
      </c>
      <c r="I130" s="2">
        <f>(D130/H130)*100000</f>
        <v>18.06467152405612</v>
      </c>
      <c r="J130">
        <f>INDEX('Land Area'!$C:$C,
       MATCH($B130, 'Land Area'!$B:$B, 0))</f>
        <v>7800</v>
      </c>
      <c r="K130" s="2">
        <f t="shared" ref="K130:K193" si="8">E130/J130</f>
        <v>883.79153846153849</v>
      </c>
    </row>
    <row r="131" spans="1:11" x14ac:dyDescent="0.25">
      <c r="A131" t="s">
        <v>27</v>
      </c>
      <c r="B131">
        <v>25</v>
      </c>
      <c r="C131">
        <v>2021</v>
      </c>
      <c r="D131">
        <v>12</v>
      </c>
      <c r="E131">
        <v>6984723</v>
      </c>
      <c r="F131">
        <v>0.2</v>
      </c>
      <c r="G131" t="s">
        <v>5</v>
      </c>
      <c r="H131">
        <v>69137</v>
      </c>
      <c r="I131" s="2">
        <f>(D131/H131)*100000</f>
        <v>17.356842211840259</v>
      </c>
      <c r="J131">
        <f>INDEX('Land Area'!$C:$C,
       MATCH($B131, 'Land Area'!$B:$B, 0))</f>
        <v>7800</v>
      </c>
      <c r="K131" s="2">
        <f t="shared" si="8"/>
        <v>895.4773076923077</v>
      </c>
    </row>
    <row r="132" spans="1:11" x14ac:dyDescent="0.25">
      <c r="A132" t="s">
        <v>27</v>
      </c>
      <c r="B132">
        <v>25</v>
      </c>
      <c r="C132">
        <v>2022</v>
      </c>
      <c r="D132">
        <v>14</v>
      </c>
      <c r="E132">
        <v>6981974</v>
      </c>
      <c r="F132">
        <v>0.2</v>
      </c>
      <c r="G132" t="s">
        <v>5</v>
      </c>
      <c r="H132">
        <v>68584</v>
      </c>
      <c r="I132" s="2">
        <f>(D132/H132)*100000</f>
        <v>20.412924297212179</v>
      </c>
      <c r="J132">
        <f>INDEX('Land Area'!$C:$C,
       MATCH($B132, 'Land Area'!$B:$B, 0))</f>
        <v>7800</v>
      </c>
      <c r="K132" s="2">
        <f t="shared" si="8"/>
        <v>895.12487179487175</v>
      </c>
    </row>
    <row r="133" spans="1:11" x14ac:dyDescent="0.25">
      <c r="A133" t="s">
        <v>27</v>
      </c>
      <c r="B133">
        <v>25</v>
      </c>
      <c r="C133">
        <v>2023</v>
      </c>
      <c r="E133">
        <v>7001399</v>
      </c>
      <c r="H133">
        <v>67093</v>
      </c>
      <c r="I133" s="2"/>
      <c r="J133">
        <f>INDEX('Land Area'!$C:$C,
       MATCH($B133, 'Land Area'!$B:$B, 0))</f>
        <v>7800</v>
      </c>
      <c r="K133" s="2">
        <f t="shared" si="8"/>
        <v>897.61525641025639</v>
      </c>
    </row>
    <row r="134" spans="1:11" x14ac:dyDescent="0.25">
      <c r="A134" t="s">
        <v>28</v>
      </c>
      <c r="B134">
        <v>26</v>
      </c>
      <c r="C134">
        <v>2018</v>
      </c>
      <c r="D134">
        <v>18</v>
      </c>
      <c r="E134">
        <v>9995915</v>
      </c>
      <c r="F134">
        <v>0.2</v>
      </c>
      <c r="G134" t="s">
        <v>5</v>
      </c>
      <c r="H134">
        <v>110032</v>
      </c>
      <c r="I134" s="2">
        <f t="shared" ref="I134:I139" si="9">(D134/H134)*100000</f>
        <v>16.358877417478553</v>
      </c>
      <c r="J134">
        <f>INDEX('Land Area'!$C:$C,
       MATCH($B134, 'Land Area'!$B:$B, 0))</f>
        <v>56539</v>
      </c>
      <c r="K134" s="2">
        <f t="shared" si="8"/>
        <v>176.79681281946975</v>
      </c>
    </row>
    <row r="135" spans="1:11" x14ac:dyDescent="0.25">
      <c r="A135" t="s">
        <v>28</v>
      </c>
      <c r="B135">
        <v>26</v>
      </c>
      <c r="C135">
        <v>2019</v>
      </c>
      <c r="D135">
        <v>16</v>
      </c>
      <c r="E135">
        <v>9986857</v>
      </c>
      <c r="F135">
        <v>0.2</v>
      </c>
      <c r="G135" t="s">
        <v>5</v>
      </c>
      <c r="H135">
        <v>107886</v>
      </c>
      <c r="I135" s="2">
        <f t="shared" si="9"/>
        <v>14.830469198969283</v>
      </c>
      <c r="J135">
        <f>INDEX('Land Area'!$C:$C,
       MATCH($B135, 'Land Area'!$B:$B, 0))</f>
        <v>56539</v>
      </c>
      <c r="K135" s="2">
        <f t="shared" si="8"/>
        <v>176.63660482145067</v>
      </c>
    </row>
    <row r="136" spans="1:11" x14ac:dyDescent="0.25">
      <c r="A136" t="s">
        <v>28</v>
      </c>
      <c r="B136">
        <v>26</v>
      </c>
      <c r="C136">
        <v>2020</v>
      </c>
      <c r="D136">
        <v>29</v>
      </c>
      <c r="E136">
        <v>9966555</v>
      </c>
      <c r="F136">
        <v>0.3</v>
      </c>
      <c r="H136">
        <v>104074</v>
      </c>
      <c r="I136" s="2">
        <f t="shared" si="9"/>
        <v>27.864788515863712</v>
      </c>
      <c r="J136">
        <f>INDEX('Land Area'!$C:$C,
       MATCH($B136, 'Land Area'!$B:$B, 0))</f>
        <v>56539</v>
      </c>
      <c r="K136" s="2">
        <f t="shared" si="8"/>
        <v>176.27752524805885</v>
      </c>
    </row>
    <row r="137" spans="1:11" x14ac:dyDescent="0.25">
      <c r="A137" t="s">
        <v>28</v>
      </c>
      <c r="B137">
        <v>26</v>
      </c>
      <c r="C137">
        <v>2021</v>
      </c>
      <c r="D137">
        <v>20</v>
      </c>
      <c r="E137">
        <v>10050811</v>
      </c>
      <c r="F137">
        <v>0.2</v>
      </c>
      <c r="H137">
        <v>104980</v>
      </c>
      <c r="I137" s="2">
        <f t="shared" si="9"/>
        <v>19.051247856734616</v>
      </c>
      <c r="J137">
        <f>INDEX('Land Area'!$C:$C,
       MATCH($B137, 'Land Area'!$B:$B, 0))</f>
        <v>56539</v>
      </c>
      <c r="K137" s="2">
        <f t="shared" si="8"/>
        <v>177.76775323228213</v>
      </c>
    </row>
    <row r="138" spans="1:11" x14ac:dyDescent="0.25">
      <c r="A138" t="s">
        <v>28</v>
      </c>
      <c r="B138">
        <v>26</v>
      </c>
      <c r="C138">
        <v>2022</v>
      </c>
      <c r="D138">
        <v>18</v>
      </c>
      <c r="E138">
        <v>10034113</v>
      </c>
      <c r="F138">
        <v>0.2</v>
      </c>
      <c r="G138" t="s">
        <v>5</v>
      </c>
      <c r="H138">
        <v>102321</v>
      </c>
      <c r="I138" s="2">
        <f t="shared" si="9"/>
        <v>17.591696719148562</v>
      </c>
      <c r="J138">
        <f>INDEX('Land Area'!$C:$C,
       MATCH($B138, 'Land Area'!$B:$B, 0))</f>
        <v>56539</v>
      </c>
      <c r="K138" s="2">
        <f t="shared" si="8"/>
        <v>177.47241726949539</v>
      </c>
    </row>
    <row r="139" spans="1:11" x14ac:dyDescent="0.25">
      <c r="A139" t="s">
        <v>28</v>
      </c>
      <c r="B139">
        <v>26</v>
      </c>
      <c r="C139">
        <v>2023</v>
      </c>
      <c r="D139">
        <v>14</v>
      </c>
      <c r="E139">
        <v>10037261</v>
      </c>
      <c r="F139">
        <v>0.1</v>
      </c>
      <c r="G139" t="s">
        <v>5</v>
      </c>
      <c r="H139">
        <v>99124</v>
      </c>
      <c r="I139" s="2">
        <f t="shared" si="9"/>
        <v>14.123723820669062</v>
      </c>
      <c r="J139">
        <f>INDEX('Land Area'!$C:$C,
       MATCH($B139, 'Land Area'!$B:$B, 0))</f>
        <v>56539</v>
      </c>
      <c r="K139" s="2">
        <f t="shared" si="8"/>
        <v>177.52809565078971</v>
      </c>
    </row>
    <row r="140" spans="1:11" x14ac:dyDescent="0.25">
      <c r="A140" t="s">
        <v>29</v>
      </c>
      <c r="B140">
        <v>27</v>
      </c>
      <c r="C140">
        <v>2018</v>
      </c>
      <c r="E140">
        <v>5611179</v>
      </c>
      <c r="H140">
        <v>67344</v>
      </c>
      <c r="I140" s="2"/>
      <c r="J140">
        <f>INDEX('Land Area'!$C:$C,
       MATCH($B140, 'Land Area'!$B:$B, 0))</f>
        <v>79627</v>
      </c>
      <c r="K140" s="2">
        <f t="shared" si="8"/>
        <v>70.468295929772566</v>
      </c>
    </row>
    <row r="141" spans="1:11" x14ac:dyDescent="0.25">
      <c r="A141" t="s">
        <v>29</v>
      </c>
      <c r="B141">
        <v>27</v>
      </c>
      <c r="C141">
        <v>2019</v>
      </c>
      <c r="E141">
        <v>5639632</v>
      </c>
      <c r="H141">
        <v>66027</v>
      </c>
      <c r="I141" s="2"/>
      <c r="J141">
        <f>INDEX('Land Area'!$C:$C,
       MATCH($B141, 'Land Area'!$B:$B, 0))</f>
        <v>79627</v>
      </c>
      <c r="K141" s="2">
        <f t="shared" si="8"/>
        <v>70.825624474110541</v>
      </c>
    </row>
    <row r="142" spans="1:11" x14ac:dyDescent="0.25">
      <c r="A142" t="s">
        <v>29</v>
      </c>
      <c r="B142">
        <v>27</v>
      </c>
      <c r="C142">
        <v>2020</v>
      </c>
      <c r="E142">
        <v>5657342</v>
      </c>
      <c r="H142">
        <v>63443</v>
      </c>
      <c r="I142" s="2"/>
      <c r="J142">
        <f>INDEX('Land Area'!$C:$C,
       MATCH($B142, 'Land Area'!$B:$B, 0))</f>
        <v>79627</v>
      </c>
      <c r="K142" s="2">
        <f t="shared" si="8"/>
        <v>71.048036470041566</v>
      </c>
    </row>
    <row r="143" spans="1:11" x14ac:dyDescent="0.25">
      <c r="A143" t="s">
        <v>29</v>
      </c>
      <c r="B143">
        <v>27</v>
      </c>
      <c r="C143">
        <v>2021</v>
      </c>
      <c r="D143">
        <v>14</v>
      </c>
      <c r="E143">
        <v>5707390</v>
      </c>
      <c r="F143">
        <v>0.2</v>
      </c>
      <c r="G143" t="s">
        <v>5</v>
      </c>
      <c r="H143">
        <v>64425</v>
      </c>
      <c r="I143" s="2">
        <f>(D143/H143)*100000</f>
        <v>21.730694606131159</v>
      </c>
      <c r="J143">
        <f>INDEX('Land Area'!$C:$C,
       MATCH($B143, 'Land Area'!$B:$B, 0))</f>
        <v>79627</v>
      </c>
      <c r="K143" s="2">
        <f t="shared" si="8"/>
        <v>71.676566993607693</v>
      </c>
    </row>
    <row r="144" spans="1:11" x14ac:dyDescent="0.25">
      <c r="A144" t="s">
        <v>29</v>
      </c>
      <c r="B144">
        <v>27</v>
      </c>
      <c r="C144">
        <v>2022</v>
      </c>
      <c r="E144">
        <v>5717184</v>
      </c>
      <c r="H144">
        <v>64015</v>
      </c>
      <c r="I144" s="2"/>
      <c r="J144">
        <f>INDEX('Land Area'!$C:$C,
       MATCH($B144, 'Land Area'!$B:$B, 0))</f>
        <v>79627</v>
      </c>
      <c r="K144" s="2">
        <f t="shared" si="8"/>
        <v>71.799565474022629</v>
      </c>
    </row>
    <row r="145" spans="1:11" x14ac:dyDescent="0.25">
      <c r="A145" t="s">
        <v>29</v>
      </c>
      <c r="B145">
        <v>27</v>
      </c>
      <c r="C145">
        <v>2023</v>
      </c>
      <c r="D145">
        <v>11</v>
      </c>
      <c r="E145">
        <v>5737915</v>
      </c>
      <c r="F145">
        <v>0.2</v>
      </c>
      <c r="G145" t="s">
        <v>5</v>
      </c>
      <c r="H145">
        <v>61715</v>
      </c>
      <c r="I145" s="2">
        <f>(D145/H145)*100000</f>
        <v>17.82386777930811</v>
      </c>
      <c r="J145">
        <f>INDEX('Land Area'!$C:$C,
       MATCH($B145, 'Land Area'!$B:$B, 0))</f>
        <v>79627</v>
      </c>
      <c r="K145" s="2">
        <f t="shared" si="8"/>
        <v>72.059916862370798</v>
      </c>
    </row>
    <row r="146" spans="1:11" x14ac:dyDescent="0.25">
      <c r="A146" t="s">
        <v>30</v>
      </c>
      <c r="B146">
        <v>28</v>
      </c>
      <c r="C146">
        <v>2018</v>
      </c>
      <c r="E146">
        <v>2986530</v>
      </c>
      <c r="H146">
        <v>37000</v>
      </c>
      <c r="I146" s="2"/>
      <c r="J146">
        <f>INDEX('Land Area'!$C:$C,
       MATCH($B146, 'Land Area'!$B:$B, 0))</f>
        <v>46923</v>
      </c>
      <c r="K146" s="2">
        <f t="shared" si="8"/>
        <v>63.647464995844253</v>
      </c>
    </row>
    <row r="147" spans="1:11" x14ac:dyDescent="0.25">
      <c r="A147" t="s">
        <v>30</v>
      </c>
      <c r="B147">
        <v>28</v>
      </c>
      <c r="C147">
        <v>2019</v>
      </c>
      <c r="D147">
        <v>15</v>
      </c>
      <c r="E147">
        <v>2976149</v>
      </c>
      <c r="F147">
        <v>0.5</v>
      </c>
      <c r="G147" t="s">
        <v>5</v>
      </c>
      <c r="H147">
        <v>36636</v>
      </c>
      <c r="I147" s="2">
        <f>(D147/H147)*100000</f>
        <v>40.943334425155584</v>
      </c>
      <c r="J147">
        <f>INDEX('Land Area'!$C:$C,
       MATCH($B147, 'Land Area'!$B:$B, 0))</f>
        <v>46923</v>
      </c>
      <c r="K147" s="2">
        <f t="shared" si="8"/>
        <v>63.426230206934768</v>
      </c>
    </row>
    <row r="148" spans="1:11" x14ac:dyDescent="0.25">
      <c r="A148" t="s">
        <v>30</v>
      </c>
      <c r="B148">
        <v>28</v>
      </c>
      <c r="C148">
        <v>2020</v>
      </c>
      <c r="D148">
        <v>10</v>
      </c>
      <c r="E148">
        <v>2966786</v>
      </c>
      <c r="F148">
        <v>0.3</v>
      </c>
      <c r="G148" t="s">
        <v>5</v>
      </c>
      <c r="H148">
        <v>35473</v>
      </c>
      <c r="I148" s="2">
        <f>(D148/H148)*100000</f>
        <v>28.190454712034505</v>
      </c>
      <c r="J148">
        <f>INDEX('Land Area'!$C:$C,
       MATCH($B148, 'Land Area'!$B:$B, 0))</f>
        <v>46923</v>
      </c>
      <c r="K148" s="2">
        <f t="shared" si="8"/>
        <v>63.226690535558255</v>
      </c>
    </row>
    <row r="149" spans="1:11" x14ac:dyDescent="0.25">
      <c r="A149" t="s">
        <v>30</v>
      </c>
      <c r="B149">
        <v>28</v>
      </c>
      <c r="C149">
        <v>2021</v>
      </c>
      <c r="D149">
        <v>29</v>
      </c>
      <c r="E149">
        <v>2949965</v>
      </c>
      <c r="F149">
        <v>1</v>
      </c>
      <c r="H149">
        <v>35156</v>
      </c>
      <c r="I149" s="2">
        <f>(D149/H149)*100000</f>
        <v>82.489475480714532</v>
      </c>
      <c r="J149">
        <f>INDEX('Land Area'!$C:$C,
       MATCH($B149, 'Land Area'!$B:$B, 0))</f>
        <v>46923</v>
      </c>
      <c r="K149" s="2">
        <f t="shared" si="8"/>
        <v>62.868209620015769</v>
      </c>
    </row>
    <row r="150" spans="1:11" x14ac:dyDescent="0.25">
      <c r="A150" t="s">
        <v>30</v>
      </c>
      <c r="B150">
        <v>28</v>
      </c>
      <c r="C150">
        <v>2022</v>
      </c>
      <c r="E150">
        <v>2940057</v>
      </c>
      <c r="H150">
        <v>34675</v>
      </c>
      <c r="I150" s="2"/>
      <c r="J150">
        <f>INDEX('Land Area'!$C:$C,
       MATCH($B150, 'Land Area'!$B:$B, 0))</f>
        <v>46923</v>
      </c>
      <c r="K150" s="2">
        <f t="shared" si="8"/>
        <v>62.65705517550029</v>
      </c>
    </row>
    <row r="151" spans="1:11" x14ac:dyDescent="0.25">
      <c r="A151" t="s">
        <v>30</v>
      </c>
      <c r="B151">
        <v>28</v>
      </c>
      <c r="C151">
        <v>2023</v>
      </c>
      <c r="E151">
        <v>2939690</v>
      </c>
      <c r="H151">
        <v>34459</v>
      </c>
      <c r="I151" s="2"/>
      <c r="J151">
        <f>INDEX('Land Area'!$C:$C,
       MATCH($B151, 'Land Area'!$B:$B, 0))</f>
        <v>46923</v>
      </c>
      <c r="K151" s="2">
        <f t="shared" si="8"/>
        <v>62.649233851203036</v>
      </c>
    </row>
    <row r="152" spans="1:11" x14ac:dyDescent="0.25">
      <c r="A152" t="s">
        <v>31</v>
      </c>
      <c r="B152">
        <v>29</v>
      </c>
      <c r="C152">
        <v>2018</v>
      </c>
      <c r="D152">
        <v>12</v>
      </c>
      <c r="E152">
        <v>6126452</v>
      </c>
      <c r="F152">
        <v>0.2</v>
      </c>
      <c r="G152" t="s">
        <v>5</v>
      </c>
      <c r="H152">
        <v>73269</v>
      </c>
      <c r="I152" s="2">
        <f t="shared" ref="I152:I157" si="10">(D152/H152)*100000</f>
        <v>16.378004340171152</v>
      </c>
      <c r="J152">
        <f>INDEX('Land Area'!$C:$C,
       MATCH($B152, 'Land Area'!$B:$B, 0))</f>
        <v>68886</v>
      </c>
      <c r="K152" s="2">
        <f t="shared" si="8"/>
        <v>88.936097320210209</v>
      </c>
    </row>
    <row r="153" spans="1:11" x14ac:dyDescent="0.25">
      <c r="A153" t="s">
        <v>31</v>
      </c>
      <c r="B153">
        <v>29</v>
      </c>
      <c r="C153">
        <v>2019</v>
      </c>
      <c r="D153">
        <v>12</v>
      </c>
      <c r="E153">
        <v>6137428</v>
      </c>
      <c r="F153">
        <v>0.2</v>
      </c>
      <c r="G153" t="s">
        <v>5</v>
      </c>
      <c r="H153">
        <v>72127</v>
      </c>
      <c r="I153" s="2">
        <f t="shared" si="10"/>
        <v>16.637320282279866</v>
      </c>
      <c r="J153">
        <f>INDEX('Land Area'!$C:$C,
       MATCH($B153, 'Land Area'!$B:$B, 0))</f>
        <v>68886</v>
      </c>
      <c r="K153" s="2">
        <f t="shared" si="8"/>
        <v>89.095433034288533</v>
      </c>
    </row>
    <row r="154" spans="1:11" x14ac:dyDescent="0.25">
      <c r="A154" t="s">
        <v>31</v>
      </c>
      <c r="B154">
        <v>29</v>
      </c>
      <c r="C154">
        <v>2020</v>
      </c>
      <c r="D154">
        <v>30</v>
      </c>
      <c r="E154">
        <v>6151548</v>
      </c>
      <c r="F154">
        <v>0.5</v>
      </c>
      <c r="H154">
        <v>69285</v>
      </c>
      <c r="I154" s="2">
        <f t="shared" si="10"/>
        <v>43.299415457891314</v>
      </c>
      <c r="J154">
        <f>INDEX('Land Area'!$C:$C,
       MATCH($B154, 'Land Area'!$B:$B, 0))</f>
        <v>68886</v>
      </c>
      <c r="K154" s="2">
        <f t="shared" si="8"/>
        <v>89.300409372005916</v>
      </c>
    </row>
    <row r="155" spans="1:11" x14ac:dyDescent="0.25">
      <c r="A155" t="s">
        <v>31</v>
      </c>
      <c r="B155">
        <v>29</v>
      </c>
      <c r="C155">
        <v>2021</v>
      </c>
      <c r="D155">
        <v>19</v>
      </c>
      <c r="E155">
        <v>6168187</v>
      </c>
      <c r="F155">
        <v>0.3</v>
      </c>
      <c r="G155" t="s">
        <v>5</v>
      </c>
      <c r="H155">
        <v>69453</v>
      </c>
      <c r="I155" s="2">
        <f t="shared" si="10"/>
        <v>27.356629663225487</v>
      </c>
      <c r="J155">
        <f>INDEX('Land Area'!$C:$C,
       MATCH($B155, 'Land Area'!$B:$B, 0))</f>
        <v>68886</v>
      </c>
      <c r="K155" s="2">
        <f t="shared" si="8"/>
        <v>89.541953372238197</v>
      </c>
    </row>
    <row r="156" spans="1:11" x14ac:dyDescent="0.25">
      <c r="A156" t="s">
        <v>31</v>
      </c>
      <c r="B156">
        <v>29</v>
      </c>
      <c r="C156">
        <v>2022</v>
      </c>
      <c r="D156">
        <v>11</v>
      </c>
      <c r="E156">
        <v>6177957</v>
      </c>
      <c r="F156">
        <v>0.2</v>
      </c>
      <c r="G156" t="s">
        <v>5</v>
      </c>
      <c r="H156">
        <v>68985</v>
      </c>
      <c r="I156" s="2">
        <f t="shared" si="10"/>
        <v>15.945495397550193</v>
      </c>
      <c r="J156">
        <f>INDEX('Land Area'!$C:$C,
       MATCH($B156, 'Land Area'!$B:$B, 0))</f>
        <v>68886</v>
      </c>
      <c r="K156" s="2">
        <f t="shared" si="8"/>
        <v>89.683781900531315</v>
      </c>
    </row>
    <row r="157" spans="1:11" x14ac:dyDescent="0.25">
      <c r="A157" t="s">
        <v>31</v>
      </c>
      <c r="B157">
        <v>29</v>
      </c>
      <c r="C157">
        <v>2023</v>
      </c>
      <c r="D157">
        <v>16</v>
      </c>
      <c r="E157">
        <v>6196156</v>
      </c>
      <c r="F157">
        <v>0.3</v>
      </c>
      <c r="G157" t="s">
        <v>5</v>
      </c>
      <c r="H157">
        <v>67123</v>
      </c>
      <c r="I157" s="2">
        <f t="shared" si="10"/>
        <v>23.836836851749773</v>
      </c>
      <c r="J157">
        <f>INDEX('Land Area'!$C:$C,
       MATCH($B157, 'Land Area'!$B:$B, 0))</f>
        <v>68886</v>
      </c>
      <c r="K157" s="2">
        <f t="shared" si="8"/>
        <v>89.947972011729519</v>
      </c>
    </row>
    <row r="158" spans="1:11" x14ac:dyDescent="0.25">
      <c r="A158" t="s">
        <v>32</v>
      </c>
      <c r="B158">
        <v>30</v>
      </c>
      <c r="C158">
        <v>2018</v>
      </c>
      <c r="E158">
        <v>1062305</v>
      </c>
      <c r="H158">
        <v>11513</v>
      </c>
      <c r="I158" s="2"/>
      <c r="J158">
        <f>INDEX('Land Area'!$C:$C,
       MATCH($B158, 'Land Area'!$B:$B, 0))</f>
        <v>145546</v>
      </c>
      <c r="K158" s="2">
        <f t="shared" si="8"/>
        <v>7.2987577810451683</v>
      </c>
    </row>
    <row r="159" spans="1:11" x14ac:dyDescent="0.25">
      <c r="A159" t="s">
        <v>32</v>
      </c>
      <c r="B159">
        <v>30</v>
      </c>
      <c r="C159">
        <v>2019</v>
      </c>
      <c r="E159">
        <v>1068778</v>
      </c>
      <c r="H159">
        <v>11079</v>
      </c>
      <c r="I159" s="2"/>
      <c r="J159">
        <f>INDEX('Land Area'!$C:$C,
       MATCH($B159, 'Land Area'!$B:$B, 0))</f>
        <v>145546</v>
      </c>
      <c r="K159" s="2">
        <f t="shared" si="8"/>
        <v>7.3432316930729806</v>
      </c>
    </row>
    <row r="160" spans="1:11" x14ac:dyDescent="0.25">
      <c r="A160" t="s">
        <v>32</v>
      </c>
      <c r="B160">
        <v>30</v>
      </c>
      <c r="C160">
        <v>2020</v>
      </c>
      <c r="E160">
        <v>1080577</v>
      </c>
      <c r="H160">
        <v>10791</v>
      </c>
      <c r="I160" s="2"/>
      <c r="J160">
        <f>INDEX('Land Area'!$C:$C,
       MATCH($B160, 'Land Area'!$B:$B, 0))</f>
        <v>145546</v>
      </c>
      <c r="K160" s="2">
        <f t="shared" si="8"/>
        <v>7.4242988470998856</v>
      </c>
    </row>
    <row r="161" spans="1:11" x14ac:dyDescent="0.25">
      <c r="A161" t="s">
        <v>32</v>
      </c>
      <c r="B161">
        <v>30</v>
      </c>
      <c r="C161">
        <v>2021</v>
      </c>
      <c r="E161">
        <v>1104271</v>
      </c>
      <c r="H161">
        <v>11231</v>
      </c>
      <c r="I161" s="2"/>
      <c r="J161">
        <f>INDEX('Land Area'!$C:$C,
       MATCH($B161, 'Land Area'!$B:$B, 0))</f>
        <v>145546</v>
      </c>
      <c r="K161" s="2">
        <f t="shared" si="8"/>
        <v>7.5870927404394486</v>
      </c>
    </row>
    <row r="162" spans="1:11" x14ac:dyDescent="0.25">
      <c r="A162" t="s">
        <v>32</v>
      </c>
      <c r="B162">
        <v>30</v>
      </c>
      <c r="C162">
        <v>2022</v>
      </c>
      <c r="E162">
        <v>1122867</v>
      </c>
      <c r="H162">
        <v>11175</v>
      </c>
      <c r="I162" s="2"/>
      <c r="J162">
        <f>INDEX('Land Area'!$C:$C,
       MATCH($B162, 'Land Area'!$B:$B, 0))</f>
        <v>145546</v>
      </c>
      <c r="K162" s="2">
        <f t="shared" si="8"/>
        <v>7.7148599068335786</v>
      </c>
    </row>
    <row r="163" spans="1:11" x14ac:dyDescent="0.25">
      <c r="A163" t="s">
        <v>32</v>
      </c>
      <c r="B163">
        <v>30</v>
      </c>
      <c r="C163">
        <v>2023</v>
      </c>
      <c r="E163">
        <v>1132812</v>
      </c>
      <c r="H163">
        <v>11078</v>
      </c>
      <c r="I163" s="2"/>
      <c r="J163">
        <f>INDEX('Land Area'!$C:$C,
       MATCH($B163, 'Land Area'!$B:$B, 0))</f>
        <v>145546</v>
      </c>
      <c r="K163" s="2">
        <f t="shared" si="8"/>
        <v>7.7831888200294062</v>
      </c>
    </row>
    <row r="164" spans="1:11" x14ac:dyDescent="0.25">
      <c r="A164" t="s">
        <v>33</v>
      </c>
      <c r="B164">
        <v>31</v>
      </c>
      <c r="C164">
        <v>2018</v>
      </c>
      <c r="E164">
        <v>1929268</v>
      </c>
      <c r="H164">
        <v>25488</v>
      </c>
      <c r="I164" s="2"/>
      <c r="J164">
        <f>INDEX('Land Area'!$C:$C,
       MATCH($B164, 'Land Area'!$B:$B, 0))</f>
        <v>76824</v>
      </c>
      <c r="K164" s="2">
        <f t="shared" si="8"/>
        <v>25.112829324169532</v>
      </c>
    </row>
    <row r="165" spans="1:11" x14ac:dyDescent="0.25">
      <c r="A165" t="s">
        <v>33</v>
      </c>
      <c r="B165">
        <v>31</v>
      </c>
      <c r="C165">
        <v>2019</v>
      </c>
      <c r="E165">
        <v>1934408</v>
      </c>
      <c r="H165">
        <v>24755</v>
      </c>
      <c r="I165" s="2"/>
      <c r="J165">
        <f>INDEX('Land Area'!$C:$C,
       MATCH($B165, 'Land Area'!$B:$B, 0))</f>
        <v>76824</v>
      </c>
      <c r="K165" s="2">
        <f t="shared" si="8"/>
        <v>25.179735499323129</v>
      </c>
    </row>
    <row r="166" spans="1:11" x14ac:dyDescent="0.25">
      <c r="A166" t="s">
        <v>33</v>
      </c>
      <c r="B166">
        <v>31</v>
      </c>
      <c r="C166">
        <v>2020</v>
      </c>
      <c r="E166">
        <v>1937552</v>
      </c>
      <c r="H166">
        <v>24291</v>
      </c>
      <c r="I166" s="2"/>
      <c r="J166">
        <f>INDEX('Land Area'!$C:$C,
       MATCH($B166, 'Land Area'!$B:$B, 0))</f>
        <v>76824</v>
      </c>
      <c r="K166" s="2">
        <f t="shared" si="8"/>
        <v>25.220660210350932</v>
      </c>
    </row>
    <row r="167" spans="1:11" x14ac:dyDescent="0.25">
      <c r="A167" t="s">
        <v>33</v>
      </c>
      <c r="B167">
        <v>31</v>
      </c>
      <c r="C167">
        <v>2021</v>
      </c>
      <c r="E167">
        <v>1963692</v>
      </c>
      <c r="H167">
        <v>24609</v>
      </c>
      <c r="I167" s="2"/>
      <c r="J167">
        <f>INDEX('Land Area'!$C:$C,
       MATCH($B167, 'Land Area'!$B:$B, 0))</f>
        <v>76824</v>
      </c>
      <c r="K167" s="2">
        <f t="shared" si="8"/>
        <v>25.560918462980318</v>
      </c>
    </row>
    <row r="168" spans="1:11" x14ac:dyDescent="0.25">
      <c r="A168" t="s">
        <v>33</v>
      </c>
      <c r="B168">
        <v>31</v>
      </c>
      <c r="C168">
        <v>2022</v>
      </c>
      <c r="E168">
        <v>1967923</v>
      </c>
      <c r="H168">
        <v>24345</v>
      </c>
      <c r="I168" s="2"/>
      <c r="J168">
        <f>INDEX('Land Area'!$C:$C,
       MATCH($B168, 'Land Area'!$B:$B, 0))</f>
        <v>76824</v>
      </c>
      <c r="K168" s="2">
        <f t="shared" si="8"/>
        <v>25.615992398208892</v>
      </c>
    </row>
    <row r="169" spans="1:11" x14ac:dyDescent="0.25">
      <c r="A169" t="s">
        <v>33</v>
      </c>
      <c r="B169">
        <v>31</v>
      </c>
      <c r="C169">
        <v>2023</v>
      </c>
      <c r="E169">
        <v>1978379</v>
      </c>
      <c r="H169">
        <v>24111</v>
      </c>
      <c r="I169" s="2"/>
      <c r="J169">
        <f>INDEX('Land Area'!$C:$C,
       MATCH($B169, 'Land Area'!$B:$B, 0))</f>
        <v>76824</v>
      </c>
      <c r="K169" s="2">
        <f t="shared" si="8"/>
        <v>25.752095699260646</v>
      </c>
    </row>
    <row r="170" spans="1:11" x14ac:dyDescent="0.25">
      <c r="A170" t="s">
        <v>34</v>
      </c>
      <c r="B170">
        <v>32</v>
      </c>
      <c r="C170">
        <v>2018</v>
      </c>
      <c r="E170">
        <v>3034392</v>
      </c>
      <c r="H170">
        <v>35682</v>
      </c>
      <c r="I170" s="2"/>
      <c r="J170">
        <f>INDEX('Land Area'!$C:$C,
       MATCH($B170, 'Land Area'!$B:$B, 0))</f>
        <v>109781</v>
      </c>
      <c r="K170" s="2">
        <f t="shared" si="8"/>
        <v>27.640411364443757</v>
      </c>
    </row>
    <row r="171" spans="1:11" x14ac:dyDescent="0.25">
      <c r="A171" t="s">
        <v>34</v>
      </c>
      <c r="B171">
        <v>32</v>
      </c>
      <c r="C171">
        <v>2019</v>
      </c>
      <c r="E171">
        <v>3080156</v>
      </c>
      <c r="H171">
        <v>35072</v>
      </c>
      <c r="I171" s="2"/>
      <c r="J171">
        <f>INDEX('Land Area'!$C:$C,
       MATCH($B171, 'Land Area'!$B:$B, 0))</f>
        <v>109781</v>
      </c>
      <c r="K171" s="2">
        <f t="shared" si="8"/>
        <v>28.057277670999536</v>
      </c>
    </row>
    <row r="172" spans="1:11" x14ac:dyDescent="0.25">
      <c r="A172" t="s">
        <v>34</v>
      </c>
      <c r="B172">
        <v>32</v>
      </c>
      <c r="C172">
        <v>2020</v>
      </c>
      <c r="E172">
        <v>3138259</v>
      </c>
      <c r="H172">
        <v>33653</v>
      </c>
      <c r="I172" s="2"/>
      <c r="J172">
        <f>INDEX('Land Area'!$C:$C,
       MATCH($B172, 'Land Area'!$B:$B, 0))</f>
        <v>109781</v>
      </c>
      <c r="K172" s="2">
        <f t="shared" si="8"/>
        <v>28.58654047603866</v>
      </c>
    </row>
    <row r="173" spans="1:11" x14ac:dyDescent="0.25">
      <c r="A173" t="s">
        <v>34</v>
      </c>
      <c r="B173">
        <v>32</v>
      </c>
      <c r="C173">
        <v>2021</v>
      </c>
      <c r="D173">
        <v>10</v>
      </c>
      <c r="E173">
        <v>3143991</v>
      </c>
      <c r="F173">
        <v>0.3</v>
      </c>
      <c r="G173" t="s">
        <v>5</v>
      </c>
      <c r="H173">
        <v>33686</v>
      </c>
      <c r="I173" s="2">
        <f>(D173/H173)*100000</f>
        <v>29.68592293534406</v>
      </c>
      <c r="J173">
        <f>INDEX('Land Area'!$C:$C,
       MATCH($B173, 'Land Area'!$B:$B, 0))</f>
        <v>109781</v>
      </c>
      <c r="K173" s="2">
        <f t="shared" si="8"/>
        <v>28.638753518368389</v>
      </c>
    </row>
    <row r="174" spans="1:11" x14ac:dyDescent="0.25">
      <c r="A174" t="s">
        <v>34</v>
      </c>
      <c r="B174">
        <v>32</v>
      </c>
      <c r="C174">
        <v>2022</v>
      </c>
      <c r="E174">
        <v>3177772</v>
      </c>
      <c r="H174">
        <v>33193</v>
      </c>
      <c r="I174" s="2"/>
      <c r="J174">
        <f>INDEX('Land Area'!$C:$C,
       MATCH($B174, 'Land Area'!$B:$B, 0))</f>
        <v>109781</v>
      </c>
      <c r="K174" s="2">
        <f t="shared" si="8"/>
        <v>28.946466146236599</v>
      </c>
    </row>
    <row r="175" spans="1:11" x14ac:dyDescent="0.25">
      <c r="A175" t="s">
        <v>34</v>
      </c>
      <c r="B175">
        <v>32</v>
      </c>
      <c r="C175">
        <v>2023</v>
      </c>
      <c r="E175">
        <v>3194176</v>
      </c>
      <c r="H175">
        <v>31794</v>
      </c>
      <c r="I175" s="2"/>
      <c r="J175">
        <f>INDEX('Land Area'!$C:$C,
       MATCH($B175, 'Land Area'!$B:$B, 0))</f>
        <v>109781</v>
      </c>
      <c r="K175" s="2">
        <f t="shared" si="8"/>
        <v>29.095890910084623</v>
      </c>
    </row>
    <row r="176" spans="1:11" x14ac:dyDescent="0.25">
      <c r="A176" t="s">
        <v>35</v>
      </c>
      <c r="B176">
        <v>33</v>
      </c>
      <c r="C176">
        <v>2018</v>
      </c>
      <c r="D176">
        <v>0</v>
      </c>
      <c r="E176">
        <v>1356458</v>
      </c>
      <c r="F176">
        <v>0</v>
      </c>
      <c r="G176" t="s">
        <v>5</v>
      </c>
      <c r="H176">
        <v>11995</v>
      </c>
      <c r="I176" s="2">
        <f>(D176/H176)*100000</f>
        <v>0</v>
      </c>
      <c r="J176">
        <f>INDEX('Land Area'!$C:$C,
       MATCH($B176, 'Land Area'!$B:$B, 0))</f>
        <v>8953</v>
      </c>
      <c r="K176" s="2">
        <f t="shared" si="8"/>
        <v>151.50876801072266</v>
      </c>
    </row>
    <row r="177" spans="1:11" x14ac:dyDescent="0.25">
      <c r="A177" t="s">
        <v>35</v>
      </c>
      <c r="B177">
        <v>33</v>
      </c>
      <c r="C177">
        <v>2019</v>
      </c>
      <c r="D177">
        <v>0</v>
      </c>
      <c r="E177">
        <v>1359711</v>
      </c>
      <c r="F177">
        <v>0</v>
      </c>
      <c r="G177" t="s">
        <v>5</v>
      </c>
      <c r="H177">
        <v>11839</v>
      </c>
      <c r="I177" s="2">
        <f>(D177/H177)*100000</f>
        <v>0</v>
      </c>
      <c r="J177">
        <f>INDEX('Land Area'!$C:$C,
       MATCH($B177, 'Land Area'!$B:$B, 0))</f>
        <v>8953</v>
      </c>
      <c r="K177" s="2">
        <f t="shared" si="8"/>
        <v>151.87210990729363</v>
      </c>
    </row>
    <row r="178" spans="1:11" x14ac:dyDescent="0.25">
      <c r="A178" t="s">
        <v>35</v>
      </c>
      <c r="B178">
        <v>33</v>
      </c>
      <c r="C178">
        <v>2020</v>
      </c>
      <c r="E178">
        <v>1366275</v>
      </c>
      <c r="H178">
        <v>11791</v>
      </c>
      <c r="I178" s="2"/>
      <c r="J178">
        <f>INDEX('Land Area'!$C:$C,
       MATCH($B178, 'Land Area'!$B:$B, 0))</f>
        <v>8953</v>
      </c>
      <c r="K178" s="2">
        <f t="shared" si="8"/>
        <v>152.60527197587402</v>
      </c>
    </row>
    <row r="179" spans="1:11" x14ac:dyDescent="0.25">
      <c r="A179" t="s">
        <v>35</v>
      </c>
      <c r="B179">
        <v>33</v>
      </c>
      <c r="C179">
        <v>2021</v>
      </c>
      <c r="E179">
        <v>1388992</v>
      </c>
      <c r="H179">
        <v>12625</v>
      </c>
      <c r="I179" s="2"/>
      <c r="J179">
        <f>INDEX('Land Area'!$C:$C,
       MATCH($B179, 'Land Area'!$B:$B, 0))</f>
        <v>8953</v>
      </c>
      <c r="K179" s="2">
        <f t="shared" si="8"/>
        <v>155.14263375404892</v>
      </c>
    </row>
    <row r="180" spans="1:11" x14ac:dyDescent="0.25">
      <c r="A180" t="s">
        <v>35</v>
      </c>
      <c r="B180">
        <v>33</v>
      </c>
      <c r="C180">
        <v>2022</v>
      </c>
      <c r="E180">
        <v>1395231</v>
      </c>
      <c r="H180">
        <v>12077</v>
      </c>
      <c r="I180" s="2"/>
      <c r="J180">
        <f>INDEX('Land Area'!$C:$C,
       MATCH($B180, 'Land Area'!$B:$B, 0))</f>
        <v>8953</v>
      </c>
      <c r="K180" s="2">
        <f t="shared" si="8"/>
        <v>155.83949514129341</v>
      </c>
    </row>
    <row r="181" spans="1:11" x14ac:dyDescent="0.25">
      <c r="A181" t="s">
        <v>35</v>
      </c>
      <c r="B181">
        <v>33</v>
      </c>
      <c r="C181">
        <v>2023</v>
      </c>
      <c r="E181">
        <v>1402054</v>
      </c>
      <c r="H181">
        <v>11936</v>
      </c>
      <c r="I181" s="2"/>
      <c r="J181">
        <f>INDEX('Land Area'!$C:$C,
       MATCH($B181, 'Land Area'!$B:$B, 0))</f>
        <v>8953</v>
      </c>
      <c r="K181" s="2">
        <f t="shared" si="8"/>
        <v>156.60158606053838</v>
      </c>
    </row>
    <row r="182" spans="1:11" x14ac:dyDescent="0.25">
      <c r="A182" t="s">
        <v>36</v>
      </c>
      <c r="B182">
        <v>34</v>
      </c>
      <c r="C182">
        <v>2018</v>
      </c>
      <c r="D182">
        <v>27</v>
      </c>
      <c r="E182">
        <v>8908520</v>
      </c>
      <c r="F182">
        <v>0.3</v>
      </c>
      <c r="H182">
        <v>101223</v>
      </c>
      <c r="I182" s="2">
        <f t="shared" ref="I182:I187" si="11">(D182/H182)*100000</f>
        <v>26.673779674579887</v>
      </c>
      <c r="J182">
        <f>INDEX('Land Area'!$C:$C,
       MATCH($B182, 'Land Area'!$B:$B, 0))</f>
        <v>7354</v>
      </c>
      <c r="K182" s="2">
        <f t="shared" si="8"/>
        <v>1211.3842806635844</v>
      </c>
    </row>
    <row r="183" spans="1:11" x14ac:dyDescent="0.25">
      <c r="A183" t="s">
        <v>36</v>
      </c>
      <c r="B183">
        <v>34</v>
      </c>
      <c r="C183">
        <v>2019</v>
      </c>
      <c r="D183">
        <v>18</v>
      </c>
      <c r="E183">
        <v>8882190</v>
      </c>
      <c r="F183">
        <v>0.2</v>
      </c>
      <c r="G183" t="s">
        <v>5</v>
      </c>
      <c r="H183">
        <v>99585</v>
      </c>
      <c r="I183" s="2">
        <f t="shared" si="11"/>
        <v>18.07501129688206</v>
      </c>
      <c r="J183">
        <f>INDEX('Land Area'!$C:$C,
       MATCH($B183, 'Land Area'!$B:$B, 0))</f>
        <v>7354</v>
      </c>
      <c r="K183" s="2">
        <f t="shared" si="8"/>
        <v>1207.8039162360619</v>
      </c>
    </row>
    <row r="184" spans="1:11" x14ac:dyDescent="0.25">
      <c r="A184" t="s">
        <v>36</v>
      </c>
      <c r="B184">
        <v>34</v>
      </c>
      <c r="C184">
        <v>2020</v>
      </c>
      <c r="D184">
        <v>27</v>
      </c>
      <c r="E184">
        <v>8882371</v>
      </c>
      <c r="F184">
        <v>0.3</v>
      </c>
      <c r="H184">
        <v>97954</v>
      </c>
      <c r="I184" s="2">
        <f t="shared" si="11"/>
        <v>27.56395859280887</v>
      </c>
      <c r="J184">
        <f>INDEX('Land Area'!$C:$C,
       MATCH($B184, 'Land Area'!$B:$B, 0))</f>
        <v>7354</v>
      </c>
      <c r="K184" s="2">
        <f t="shared" si="8"/>
        <v>1207.8285286918683</v>
      </c>
    </row>
    <row r="185" spans="1:11" x14ac:dyDescent="0.25">
      <c r="A185" t="s">
        <v>36</v>
      </c>
      <c r="B185">
        <v>34</v>
      </c>
      <c r="C185">
        <v>2021</v>
      </c>
      <c r="D185">
        <v>31</v>
      </c>
      <c r="E185">
        <v>9267130</v>
      </c>
      <c r="F185">
        <v>0.3</v>
      </c>
      <c r="H185">
        <v>101497</v>
      </c>
      <c r="I185" s="2">
        <f t="shared" si="11"/>
        <v>30.54277466329054</v>
      </c>
      <c r="J185">
        <f>INDEX('Land Area'!$C:$C,
       MATCH($B185, 'Land Area'!$B:$B, 0))</f>
        <v>7354</v>
      </c>
      <c r="K185" s="2">
        <f t="shared" si="8"/>
        <v>1260.1482186565136</v>
      </c>
    </row>
    <row r="186" spans="1:11" x14ac:dyDescent="0.25">
      <c r="A186" t="s">
        <v>36</v>
      </c>
      <c r="B186">
        <v>34</v>
      </c>
      <c r="C186">
        <v>2022</v>
      </c>
      <c r="D186">
        <v>28</v>
      </c>
      <c r="E186">
        <v>9261699</v>
      </c>
      <c r="F186">
        <v>0.3</v>
      </c>
      <c r="H186">
        <v>102893</v>
      </c>
      <c r="I186" s="2">
        <f t="shared" si="11"/>
        <v>27.212735560242194</v>
      </c>
      <c r="J186">
        <f>INDEX('Land Area'!$C:$C,
       MATCH($B186, 'Land Area'!$B:$B, 0))</f>
        <v>7354</v>
      </c>
      <c r="K186" s="2">
        <f t="shared" si="8"/>
        <v>1259.4097090019038</v>
      </c>
    </row>
    <row r="187" spans="1:11" x14ac:dyDescent="0.25">
      <c r="A187" t="s">
        <v>36</v>
      </c>
      <c r="B187">
        <v>34</v>
      </c>
      <c r="C187">
        <v>2023</v>
      </c>
      <c r="D187">
        <v>16</v>
      </c>
      <c r="E187">
        <v>9290841</v>
      </c>
      <c r="F187">
        <v>0.2</v>
      </c>
      <c r="G187" t="s">
        <v>5</v>
      </c>
      <c r="H187">
        <v>101001</v>
      </c>
      <c r="I187" s="2">
        <f t="shared" si="11"/>
        <v>15.841427312600866</v>
      </c>
      <c r="J187">
        <f>INDEX('Land Area'!$C:$C,
       MATCH($B187, 'Land Area'!$B:$B, 0))</f>
        <v>7354</v>
      </c>
      <c r="K187" s="2">
        <f t="shared" si="8"/>
        <v>1263.3724503671472</v>
      </c>
    </row>
    <row r="188" spans="1:11" x14ac:dyDescent="0.25">
      <c r="A188" t="s">
        <v>37</v>
      </c>
      <c r="B188">
        <v>35</v>
      </c>
      <c r="C188">
        <v>2018</v>
      </c>
      <c r="E188">
        <v>2095428</v>
      </c>
      <c r="H188">
        <v>23039</v>
      </c>
      <c r="I188" s="2"/>
      <c r="J188">
        <f>INDEX('Land Area'!$C:$C,
       MATCH($B188, 'Land Area'!$B:$B, 0))</f>
        <v>121590</v>
      </c>
      <c r="K188" s="2">
        <f t="shared" si="8"/>
        <v>17.233555391068343</v>
      </c>
    </row>
    <row r="189" spans="1:11" x14ac:dyDescent="0.25">
      <c r="A189" t="s">
        <v>37</v>
      </c>
      <c r="B189">
        <v>35</v>
      </c>
      <c r="C189">
        <v>2019</v>
      </c>
      <c r="E189">
        <v>2096829</v>
      </c>
      <c r="H189">
        <v>22960</v>
      </c>
      <c r="I189" s="2"/>
      <c r="J189">
        <f>INDEX('Land Area'!$C:$C,
       MATCH($B189, 'Land Area'!$B:$B, 0))</f>
        <v>121590</v>
      </c>
      <c r="K189" s="2">
        <f t="shared" si="8"/>
        <v>17.245077720207252</v>
      </c>
    </row>
    <row r="190" spans="1:11" x14ac:dyDescent="0.25">
      <c r="A190" t="s">
        <v>37</v>
      </c>
      <c r="B190">
        <v>35</v>
      </c>
      <c r="C190">
        <v>2020</v>
      </c>
      <c r="E190">
        <v>2106319</v>
      </c>
      <c r="H190">
        <v>21903</v>
      </c>
      <c r="I190" s="2"/>
      <c r="J190">
        <f>INDEX('Land Area'!$C:$C,
       MATCH($B190, 'Land Area'!$B:$B, 0))</f>
        <v>121590</v>
      </c>
      <c r="K190" s="2">
        <f t="shared" si="8"/>
        <v>17.323126901883377</v>
      </c>
    </row>
    <row r="191" spans="1:11" x14ac:dyDescent="0.25">
      <c r="A191" t="s">
        <v>37</v>
      </c>
      <c r="B191">
        <v>35</v>
      </c>
      <c r="C191">
        <v>2021</v>
      </c>
      <c r="D191">
        <v>17</v>
      </c>
      <c r="E191">
        <v>2115877</v>
      </c>
      <c r="F191">
        <v>0.8</v>
      </c>
      <c r="G191" t="s">
        <v>5</v>
      </c>
      <c r="H191">
        <v>21391</v>
      </c>
      <c r="I191" s="2">
        <f>(D191/H191)*100000</f>
        <v>79.472675424243846</v>
      </c>
      <c r="J191">
        <f>INDEX('Land Area'!$C:$C,
       MATCH($B191, 'Land Area'!$B:$B, 0))</f>
        <v>121590</v>
      </c>
      <c r="K191" s="2">
        <f t="shared" si="8"/>
        <v>17.401735340077309</v>
      </c>
    </row>
    <row r="192" spans="1:11" x14ac:dyDescent="0.25">
      <c r="A192" t="s">
        <v>37</v>
      </c>
      <c r="B192">
        <v>35</v>
      </c>
      <c r="C192">
        <v>2022</v>
      </c>
      <c r="E192">
        <v>2113344</v>
      </c>
      <c r="H192">
        <v>21614</v>
      </c>
      <c r="I192" s="2"/>
      <c r="J192">
        <f>INDEX('Land Area'!$C:$C,
       MATCH($B192, 'Land Area'!$B:$B, 0))</f>
        <v>121590</v>
      </c>
      <c r="K192" s="2">
        <f t="shared" si="8"/>
        <v>17.380903034789046</v>
      </c>
    </row>
    <row r="193" spans="1:11" x14ac:dyDescent="0.25">
      <c r="A193" t="s">
        <v>37</v>
      </c>
      <c r="B193">
        <v>35</v>
      </c>
      <c r="C193">
        <v>2023</v>
      </c>
      <c r="E193">
        <v>2114371</v>
      </c>
      <c r="H193">
        <v>20951</v>
      </c>
      <c r="I193" s="2"/>
      <c r="J193">
        <f>INDEX('Land Area'!$C:$C,
       MATCH($B193, 'Land Area'!$B:$B, 0))</f>
        <v>121590</v>
      </c>
      <c r="K193" s="2">
        <f t="shared" si="8"/>
        <v>17.389349453080023</v>
      </c>
    </row>
    <row r="194" spans="1:11" x14ac:dyDescent="0.25">
      <c r="A194" t="s">
        <v>38</v>
      </c>
      <c r="B194">
        <v>36</v>
      </c>
      <c r="C194">
        <v>2018</v>
      </c>
      <c r="D194">
        <v>47</v>
      </c>
      <c r="E194">
        <v>19542209</v>
      </c>
      <c r="F194">
        <v>0.2</v>
      </c>
      <c r="H194">
        <v>226238</v>
      </c>
      <c r="I194" s="2">
        <f t="shared" ref="I194:I206" si="12">(D194/H194)*100000</f>
        <v>20.77458251929384</v>
      </c>
      <c r="J194">
        <f>INDEX('Land Area'!$C:$C,
       MATCH($B194, 'Land Area'!$B:$B, 0))</f>
        <v>47126</v>
      </c>
      <c r="K194" s="2">
        <f t="shared" ref="K194:K257" si="13">E194/J194</f>
        <v>414.67998557059798</v>
      </c>
    </row>
    <row r="195" spans="1:11" x14ac:dyDescent="0.25">
      <c r="A195" t="s">
        <v>38</v>
      </c>
      <c r="B195">
        <v>36</v>
      </c>
      <c r="C195">
        <v>2019</v>
      </c>
      <c r="D195">
        <v>49</v>
      </c>
      <c r="E195">
        <v>19453561</v>
      </c>
      <c r="F195">
        <v>0.3</v>
      </c>
      <c r="H195">
        <v>221539</v>
      </c>
      <c r="I195" s="2">
        <f t="shared" si="12"/>
        <v>22.118001796523412</v>
      </c>
      <c r="J195">
        <f>INDEX('Land Area'!$C:$C,
       MATCH($B195, 'Land Area'!$B:$B, 0))</f>
        <v>47126</v>
      </c>
      <c r="K195" s="2">
        <f t="shared" si="13"/>
        <v>412.79890081908076</v>
      </c>
    </row>
    <row r="196" spans="1:11" x14ac:dyDescent="0.25">
      <c r="A196" t="s">
        <v>38</v>
      </c>
      <c r="B196">
        <v>36</v>
      </c>
      <c r="C196">
        <v>2020</v>
      </c>
      <c r="D196">
        <v>37</v>
      </c>
      <c r="E196">
        <v>19336776</v>
      </c>
      <c r="F196">
        <v>0.2</v>
      </c>
      <c r="H196">
        <v>209338</v>
      </c>
      <c r="I196" s="2">
        <f t="shared" si="12"/>
        <v>17.674765212240491</v>
      </c>
      <c r="J196">
        <f>INDEX('Land Area'!$C:$C,
       MATCH($B196, 'Land Area'!$B:$B, 0))</f>
        <v>47126</v>
      </c>
      <c r="K196" s="2">
        <f t="shared" si="13"/>
        <v>410.32075711921232</v>
      </c>
    </row>
    <row r="197" spans="1:11" x14ac:dyDescent="0.25">
      <c r="A197" t="s">
        <v>38</v>
      </c>
      <c r="B197">
        <v>36</v>
      </c>
      <c r="C197">
        <v>2021</v>
      </c>
      <c r="D197">
        <v>55</v>
      </c>
      <c r="E197">
        <v>19835913</v>
      </c>
      <c r="F197">
        <v>0.3</v>
      </c>
      <c r="H197">
        <v>210742</v>
      </c>
      <c r="I197" s="2">
        <f t="shared" si="12"/>
        <v>26.098262330242665</v>
      </c>
      <c r="J197">
        <f>INDEX('Land Area'!$C:$C,
       MATCH($B197, 'Land Area'!$B:$B, 0))</f>
        <v>47126</v>
      </c>
      <c r="K197" s="2">
        <f t="shared" si="13"/>
        <v>420.91229894325852</v>
      </c>
    </row>
    <row r="198" spans="1:11" x14ac:dyDescent="0.25">
      <c r="A198" t="s">
        <v>38</v>
      </c>
      <c r="B198">
        <v>36</v>
      </c>
      <c r="C198">
        <v>2022</v>
      </c>
      <c r="D198">
        <v>53</v>
      </c>
      <c r="E198">
        <v>19677151</v>
      </c>
      <c r="F198">
        <v>0.3</v>
      </c>
      <c r="H198">
        <v>207774</v>
      </c>
      <c r="I198" s="2">
        <f t="shared" si="12"/>
        <v>25.508485181013988</v>
      </c>
      <c r="J198">
        <f>INDEX('Land Area'!$C:$C,
       MATCH($B198, 'Land Area'!$B:$B, 0))</f>
        <v>47126</v>
      </c>
      <c r="K198" s="2">
        <f t="shared" si="13"/>
        <v>417.54341552433903</v>
      </c>
    </row>
    <row r="199" spans="1:11" x14ac:dyDescent="0.25">
      <c r="A199" t="s">
        <v>38</v>
      </c>
      <c r="B199">
        <v>36</v>
      </c>
      <c r="C199">
        <v>2023</v>
      </c>
      <c r="D199">
        <v>36</v>
      </c>
      <c r="E199">
        <v>19571216</v>
      </c>
      <c r="F199">
        <v>0.2</v>
      </c>
      <c r="H199">
        <v>203612</v>
      </c>
      <c r="I199" s="2">
        <f t="shared" si="12"/>
        <v>17.680686796456005</v>
      </c>
      <c r="J199">
        <f>INDEX('Land Area'!$C:$C,
       MATCH($B199, 'Land Area'!$B:$B, 0))</f>
        <v>47126</v>
      </c>
      <c r="K199" s="2">
        <f t="shared" si="13"/>
        <v>415.29550566566229</v>
      </c>
    </row>
    <row r="200" spans="1:11" x14ac:dyDescent="0.25">
      <c r="A200" t="s">
        <v>39</v>
      </c>
      <c r="B200">
        <v>37</v>
      </c>
      <c r="C200">
        <v>2018</v>
      </c>
      <c r="D200">
        <v>13</v>
      </c>
      <c r="E200">
        <v>10383620</v>
      </c>
      <c r="F200">
        <v>0.1</v>
      </c>
      <c r="G200" t="s">
        <v>5</v>
      </c>
      <c r="H200">
        <v>118954</v>
      </c>
      <c r="I200" s="2">
        <f t="shared" si="12"/>
        <v>10.928594246515459</v>
      </c>
      <c r="J200">
        <f>INDEX('Land Area'!$C:$C,
       MATCH($B200, 'Land Area'!$B:$B, 0))</f>
        <v>48618</v>
      </c>
      <c r="K200" s="2">
        <f t="shared" si="13"/>
        <v>213.5756304249455</v>
      </c>
    </row>
    <row r="201" spans="1:11" x14ac:dyDescent="0.25">
      <c r="A201" t="s">
        <v>39</v>
      </c>
      <c r="B201">
        <v>37</v>
      </c>
      <c r="C201">
        <v>2019</v>
      </c>
      <c r="D201">
        <v>26</v>
      </c>
      <c r="E201">
        <v>10488084</v>
      </c>
      <c r="F201">
        <v>0.2</v>
      </c>
      <c r="H201">
        <v>118725</v>
      </c>
      <c r="I201" s="2">
        <f t="shared" si="12"/>
        <v>21.899347230996</v>
      </c>
      <c r="J201">
        <f>INDEX('Land Area'!$C:$C,
       MATCH($B201, 'Land Area'!$B:$B, 0))</f>
        <v>48618</v>
      </c>
      <c r="K201" s="2">
        <f t="shared" si="13"/>
        <v>215.72429964210787</v>
      </c>
    </row>
    <row r="202" spans="1:11" x14ac:dyDescent="0.25">
      <c r="A202" t="s">
        <v>39</v>
      </c>
      <c r="B202">
        <v>37</v>
      </c>
      <c r="C202">
        <v>2020</v>
      </c>
      <c r="D202">
        <v>34</v>
      </c>
      <c r="E202">
        <v>10600823</v>
      </c>
      <c r="F202">
        <v>0.3</v>
      </c>
      <c r="H202">
        <v>116730</v>
      </c>
      <c r="I202" s="2">
        <f t="shared" si="12"/>
        <v>29.127045318255803</v>
      </c>
      <c r="J202">
        <f>INDEX('Land Area'!$C:$C,
       MATCH($B202, 'Land Area'!$B:$B, 0))</f>
        <v>48618</v>
      </c>
      <c r="K202" s="2">
        <f t="shared" si="13"/>
        <v>218.04317331029659</v>
      </c>
    </row>
    <row r="203" spans="1:11" x14ac:dyDescent="0.25">
      <c r="A203" t="s">
        <v>39</v>
      </c>
      <c r="B203">
        <v>37</v>
      </c>
      <c r="C203">
        <v>2021</v>
      </c>
      <c r="D203">
        <v>53</v>
      </c>
      <c r="E203">
        <v>10551162</v>
      </c>
      <c r="F203">
        <v>0.5</v>
      </c>
      <c r="H203">
        <v>120466</v>
      </c>
      <c r="I203" s="2">
        <f t="shared" si="12"/>
        <v>43.995816246907843</v>
      </c>
      <c r="J203">
        <f>INDEX('Land Area'!$C:$C,
       MATCH($B203, 'Land Area'!$B:$B, 0))</f>
        <v>48618</v>
      </c>
      <c r="K203" s="2">
        <f t="shared" si="13"/>
        <v>217.02172035048747</v>
      </c>
    </row>
    <row r="204" spans="1:11" x14ac:dyDescent="0.25">
      <c r="A204" t="s">
        <v>39</v>
      </c>
      <c r="B204">
        <v>37</v>
      </c>
      <c r="C204">
        <v>2022</v>
      </c>
      <c r="D204">
        <v>33</v>
      </c>
      <c r="E204">
        <v>10698973</v>
      </c>
      <c r="F204">
        <v>0.3</v>
      </c>
      <c r="H204">
        <v>121562</v>
      </c>
      <c r="I204" s="2">
        <f t="shared" si="12"/>
        <v>27.146641220118127</v>
      </c>
      <c r="J204">
        <f>INDEX('Land Area'!$C:$C,
       MATCH($B204, 'Land Area'!$B:$B, 0))</f>
        <v>48618</v>
      </c>
      <c r="K204" s="2">
        <f t="shared" si="13"/>
        <v>220.06197293183595</v>
      </c>
    </row>
    <row r="205" spans="1:11" x14ac:dyDescent="0.25">
      <c r="A205" t="s">
        <v>39</v>
      </c>
      <c r="B205">
        <v>37</v>
      </c>
      <c r="C205">
        <v>2023</v>
      </c>
      <c r="D205">
        <v>32</v>
      </c>
      <c r="E205">
        <v>10835491</v>
      </c>
      <c r="F205">
        <v>0.3</v>
      </c>
      <c r="H205">
        <v>120082</v>
      </c>
      <c r="I205" s="2">
        <f t="shared" si="12"/>
        <v>26.648456887793341</v>
      </c>
      <c r="J205">
        <f>INDEX('Land Area'!$C:$C,
       MATCH($B205, 'Land Area'!$B:$B, 0))</f>
        <v>48618</v>
      </c>
      <c r="K205" s="2">
        <f t="shared" si="13"/>
        <v>222.8699452877535</v>
      </c>
    </row>
    <row r="206" spans="1:11" x14ac:dyDescent="0.25">
      <c r="A206" t="s">
        <v>40</v>
      </c>
      <c r="B206">
        <v>38</v>
      </c>
      <c r="C206">
        <v>2018</v>
      </c>
      <c r="D206">
        <v>0</v>
      </c>
      <c r="E206">
        <v>760077</v>
      </c>
      <c r="F206">
        <v>0</v>
      </c>
      <c r="G206" t="s">
        <v>5</v>
      </c>
      <c r="H206">
        <v>10636</v>
      </c>
      <c r="I206" s="2">
        <f t="shared" si="12"/>
        <v>0</v>
      </c>
      <c r="J206">
        <f>INDEX('Land Area'!$C:$C,
       MATCH($B206, 'Land Area'!$B:$B, 0))</f>
        <v>69001</v>
      </c>
      <c r="K206" s="2">
        <f t="shared" si="13"/>
        <v>11.015449051463023</v>
      </c>
    </row>
    <row r="207" spans="1:11" x14ac:dyDescent="0.25">
      <c r="A207" t="s">
        <v>40</v>
      </c>
      <c r="B207">
        <v>38</v>
      </c>
      <c r="C207">
        <v>2019</v>
      </c>
      <c r="E207">
        <v>762062</v>
      </c>
      <c r="H207">
        <v>10454</v>
      </c>
      <c r="I207" s="2"/>
      <c r="J207">
        <f>INDEX('Land Area'!$C:$C,
       MATCH($B207, 'Land Area'!$B:$B, 0))</f>
        <v>69001</v>
      </c>
      <c r="K207" s="2">
        <f t="shared" si="13"/>
        <v>11.044216750481876</v>
      </c>
    </row>
    <row r="208" spans="1:11" x14ac:dyDescent="0.25">
      <c r="A208" t="s">
        <v>40</v>
      </c>
      <c r="B208">
        <v>38</v>
      </c>
      <c r="C208">
        <v>2020</v>
      </c>
      <c r="E208">
        <v>765309</v>
      </c>
      <c r="H208">
        <v>10059</v>
      </c>
      <c r="I208" s="2"/>
      <c r="J208">
        <f>INDEX('Land Area'!$C:$C,
       MATCH($B208, 'Land Area'!$B:$B, 0))</f>
        <v>69001</v>
      </c>
      <c r="K208" s="2">
        <f t="shared" si="13"/>
        <v>11.091274039506674</v>
      </c>
    </row>
    <row r="209" spans="1:11" x14ac:dyDescent="0.25">
      <c r="A209" t="s">
        <v>40</v>
      </c>
      <c r="B209">
        <v>38</v>
      </c>
      <c r="C209">
        <v>2021</v>
      </c>
      <c r="E209">
        <v>774948</v>
      </c>
      <c r="H209">
        <v>10112</v>
      </c>
      <c r="I209" s="2"/>
      <c r="J209">
        <f>INDEX('Land Area'!$C:$C,
       MATCH($B209, 'Land Area'!$B:$B, 0))</f>
        <v>69001</v>
      </c>
      <c r="K209" s="2">
        <f t="shared" si="13"/>
        <v>11.230967667135259</v>
      </c>
    </row>
    <row r="210" spans="1:11" x14ac:dyDescent="0.25">
      <c r="A210" t="s">
        <v>40</v>
      </c>
      <c r="B210">
        <v>38</v>
      </c>
      <c r="C210">
        <v>2022</v>
      </c>
      <c r="E210">
        <v>779261</v>
      </c>
      <c r="H210">
        <v>9567</v>
      </c>
      <c r="I210" s="2"/>
      <c r="J210">
        <f>INDEX('Land Area'!$C:$C,
       MATCH($B210, 'Land Area'!$B:$B, 0))</f>
        <v>69001</v>
      </c>
      <c r="K210" s="2">
        <f t="shared" si="13"/>
        <v>11.293474007623077</v>
      </c>
    </row>
    <row r="211" spans="1:11" x14ac:dyDescent="0.25">
      <c r="A211" t="s">
        <v>40</v>
      </c>
      <c r="B211">
        <v>38</v>
      </c>
      <c r="C211">
        <v>2023</v>
      </c>
      <c r="E211">
        <v>783926</v>
      </c>
      <c r="H211">
        <v>9647</v>
      </c>
      <c r="I211" s="2"/>
      <c r="J211">
        <f>INDEX('Land Area'!$C:$C,
       MATCH($B211, 'Land Area'!$B:$B, 0))</f>
        <v>69001</v>
      </c>
      <c r="K211" s="2">
        <f t="shared" si="13"/>
        <v>11.361081723453283</v>
      </c>
    </row>
    <row r="212" spans="1:11" x14ac:dyDescent="0.25">
      <c r="A212" t="s">
        <v>41</v>
      </c>
      <c r="B212">
        <v>39</v>
      </c>
      <c r="C212">
        <v>2018</v>
      </c>
      <c r="D212">
        <v>19</v>
      </c>
      <c r="E212">
        <v>11689442</v>
      </c>
      <c r="F212">
        <v>0.2</v>
      </c>
      <c r="G212" t="s">
        <v>5</v>
      </c>
      <c r="H212">
        <v>135134</v>
      </c>
      <c r="I212" s="2">
        <f t="shared" ref="I212:I222" si="14">(D212/H212)*100000</f>
        <v>14.060118104992082</v>
      </c>
      <c r="J212">
        <f>INDEX('Land Area'!$C:$C,
       MATCH($B212, 'Land Area'!$B:$B, 0))</f>
        <v>44825</v>
      </c>
      <c r="K212" s="2">
        <f t="shared" si="13"/>
        <v>260.77952035694369</v>
      </c>
    </row>
    <row r="213" spans="1:11" x14ac:dyDescent="0.25">
      <c r="A213" t="s">
        <v>41</v>
      </c>
      <c r="B213">
        <v>39</v>
      </c>
      <c r="C213">
        <v>2019</v>
      </c>
      <c r="D213">
        <v>32</v>
      </c>
      <c r="E213">
        <v>11689100</v>
      </c>
      <c r="F213">
        <v>0.3</v>
      </c>
      <c r="H213">
        <v>134461</v>
      </c>
      <c r="I213" s="2">
        <f t="shared" si="14"/>
        <v>23.798722306096192</v>
      </c>
      <c r="J213">
        <f>INDEX('Land Area'!$C:$C,
       MATCH($B213, 'Land Area'!$B:$B, 0))</f>
        <v>44825</v>
      </c>
      <c r="K213" s="2">
        <f t="shared" si="13"/>
        <v>260.77189068600114</v>
      </c>
    </row>
    <row r="214" spans="1:11" x14ac:dyDescent="0.25">
      <c r="A214" t="s">
        <v>41</v>
      </c>
      <c r="B214">
        <v>39</v>
      </c>
      <c r="C214">
        <v>2020</v>
      </c>
      <c r="D214">
        <v>34</v>
      </c>
      <c r="E214">
        <v>11693217</v>
      </c>
      <c r="F214">
        <v>0.3</v>
      </c>
      <c r="H214">
        <v>129191</v>
      </c>
      <c r="I214" s="2">
        <f t="shared" si="14"/>
        <v>26.317622744618433</v>
      </c>
      <c r="J214">
        <f>INDEX('Land Area'!$C:$C,
       MATCH($B214, 'Land Area'!$B:$B, 0))</f>
        <v>44825</v>
      </c>
      <c r="K214" s="2">
        <f t="shared" si="13"/>
        <v>260.86373675404349</v>
      </c>
    </row>
    <row r="215" spans="1:11" x14ac:dyDescent="0.25">
      <c r="A215" t="s">
        <v>41</v>
      </c>
      <c r="B215">
        <v>39</v>
      </c>
      <c r="C215">
        <v>2021</v>
      </c>
      <c r="D215">
        <v>41</v>
      </c>
      <c r="E215">
        <v>11780017</v>
      </c>
      <c r="F215">
        <v>0.3</v>
      </c>
      <c r="H215">
        <v>129791</v>
      </c>
      <c r="I215" s="2">
        <f t="shared" si="14"/>
        <v>31.589247328397192</v>
      </c>
      <c r="J215">
        <f>INDEX('Land Area'!$C:$C,
       MATCH($B215, 'Land Area'!$B:$B, 0))</f>
        <v>44825</v>
      </c>
      <c r="K215" s="2">
        <f t="shared" si="13"/>
        <v>262.80015616285556</v>
      </c>
    </row>
    <row r="216" spans="1:11" x14ac:dyDescent="0.25">
      <c r="A216" t="s">
        <v>41</v>
      </c>
      <c r="B216">
        <v>39</v>
      </c>
      <c r="C216">
        <v>2022</v>
      </c>
      <c r="D216">
        <v>35</v>
      </c>
      <c r="E216">
        <v>11756058</v>
      </c>
      <c r="F216">
        <v>0.3</v>
      </c>
      <c r="H216">
        <v>128231</v>
      </c>
      <c r="I216" s="2">
        <f t="shared" si="14"/>
        <v>27.294491971520145</v>
      </c>
      <c r="J216">
        <f>INDEX('Land Area'!$C:$C,
       MATCH($B216, 'Land Area'!$B:$B, 0))</f>
        <v>44825</v>
      </c>
      <c r="K216" s="2">
        <f t="shared" si="13"/>
        <v>262.26565532626881</v>
      </c>
    </row>
    <row r="217" spans="1:11" x14ac:dyDescent="0.25">
      <c r="A217" t="s">
        <v>41</v>
      </c>
      <c r="B217">
        <v>39</v>
      </c>
      <c r="C217">
        <v>2023</v>
      </c>
      <c r="D217">
        <v>23</v>
      </c>
      <c r="E217">
        <v>11785935</v>
      </c>
      <c r="F217">
        <v>0.2</v>
      </c>
      <c r="H217">
        <v>126896</v>
      </c>
      <c r="I217" s="2">
        <f t="shared" si="14"/>
        <v>18.125078804690453</v>
      </c>
      <c r="J217">
        <f>INDEX('Land Area'!$C:$C,
       MATCH($B217, 'Land Area'!$B:$B, 0))</f>
        <v>44825</v>
      </c>
      <c r="K217" s="2">
        <f t="shared" si="13"/>
        <v>262.93218070273286</v>
      </c>
    </row>
    <row r="218" spans="1:11" x14ac:dyDescent="0.25">
      <c r="A218" t="s">
        <v>42</v>
      </c>
      <c r="B218">
        <v>40</v>
      </c>
      <c r="C218">
        <v>2018</v>
      </c>
      <c r="D218">
        <v>15</v>
      </c>
      <c r="E218">
        <v>3943079</v>
      </c>
      <c r="F218">
        <v>0.4</v>
      </c>
      <c r="G218" t="s">
        <v>5</v>
      </c>
      <c r="H218">
        <v>49800</v>
      </c>
      <c r="I218" s="2">
        <f t="shared" si="14"/>
        <v>30.120481927710845</v>
      </c>
      <c r="J218">
        <f>INDEX('Land Area'!$C:$C,
       MATCH($B218, 'Land Area'!$B:$B, 0))</f>
        <v>68595</v>
      </c>
      <c r="K218" s="2">
        <f t="shared" si="13"/>
        <v>57.483475471973179</v>
      </c>
    </row>
    <row r="219" spans="1:11" x14ac:dyDescent="0.25">
      <c r="A219" t="s">
        <v>42</v>
      </c>
      <c r="B219">
        <v>40</v>
      </c>
      <c r="C219">
        <v>2019</v>
      </c>
      <c r="D219">
        <v>11</v>
      </c>
      <c r="E219">
        <v>3956971</v>
      </c>
      <c r="F219">
        <v>0.3</v>
      </c>
      <c r="G219" t="s">
        <v>5</v>
      </c>
      <c r="H219">
        <v>49143</v>
      </c>
      <c r="I219" s="2">
        <f t="shared" si="14"/>
        <v>22.38365586146552</v>
      </c>
      <c r="J219">
        <f>INDEX('Land Area'!$C:$C,
       MATCH($B219, 'Land Area'!$B:$B, 0))</f>
        <v>68595</v>
      </c>
      <c r="K219" s="2">
        <f t="shared" si="13"/>
        <v>57.685997521685252</v>
      </c>
    </row>
    <row r="220" spans="1:11" x14ac:dyDescent="0.25">
      <c r="A220" t="s">
        <v>42</v>
      </c>
      <c r="B220">
        <v>40</v>
      </c>
      <c r="C220">
        <v>2020</v>
      </c>
      <c r="D220">
        <v>10</v>
      </c>
      <c r="E220">
        <v>3980783</v>
      </c>
      <c r="F220">
        <v>0.3</v>
      </c>
      <c r="G220" t="s">
        <v>5</v>
      </c>
      <c r="H220">
        <v>47623</v>
      </c>
      <c r="I220" s="2">
        <f t="shared" si="14"/>
        <v>20.998257144656993</v>
      </c>
      <c r="J220">
        <f>INDEX('Land Area'!$C:$C,
       MATCH($B220, 'Land Area'!$B:$B, 0))</f>
        <v>68595</v>
      </c>
      <c r="K220" s="2">
        <f t="shared" si="13"/>
        <v>58.03313652598586</v>
      </c>
    </row>
    <row r="221" spans="1:11" x14ac:dyDescent="0.25">
      <c r="A221" t="s">
        <v>42</v>
      </c>
      <c r="B221">
        <v>40</v>
      </c>
      <c r="C221">
        <v>2021</v>
      </c>
      <c r="D221">
        <v>23</v>
      </c>
      <c r="E221">
        <v>3986639</v>
      </c>
      <c r="F221">
        <v>0.6</v>
      </c>
      <c r="H221">
        <v>48410</v>
      </c>
      <c r="I221" s="2">
        <f t="shared" si="14"/>
        <v>47.510844866763065</v>
      </c>
      <c r="J221">
        <f>INDEX('Land Area'!$C:$C,
       MATCH($B221, 'Land Area'!$B:$B, 0))</f>
        <v>68595</v>
      </c>
      <c r="K221" s="2">
        <f t="shared" si="13"/>
        <v>58.118507179823602</v>
      </c>
    </row>
    <row r="222" spans="1:11" x14ac:dyDescent="0.25">
      <c r="A222" t="s">
        <v>42</v>
      </c>
      <c r="B222">
        <v>40</v>
      </c>
      <c r="C222">
        <v>2022</v>
      </c>
      <c r="D222">
        <v>13</v>
      </c>
      <c r="E222">
        <v>4019800</v>
      </c>
      <c r="F222">
        <v>0.3</v>
      </c>
      <c r="G222" t="s">
        <v>5</v>
      </c>
      <c r="H222">
        <v>48332</v>
      </c>
      <c r="I222" s="2">
        <f t="shared" si="14"/>
        <v>26.897293718447404</v>
      </c>
      <c r="J222">
        <f>INDEX('Land Area'!$C:$C,
       MATCH($B222, 'Land Area'!$B:$B, 0))</f>
        <v>68595</v>
      </c>
      <c r="K222" s="2">
        <f t="shared" si="13"/>
        <v>58.601938916830676</v>
      </c>
    </row>
    <row r="223" spans="1:11" x14ac:dyDescent="0.25">
      <c r="A223" t="s">
        <v>42</v>
      </c>
      <c r="B223">
        <v>40</v>
      </c>
      <c r="C223">
        <v>2023</v>
      </c>
      <c r="E223">
        <v>4053824</v>
      </c>
      <c r="H223">
        <v>47909</v>
      </c>
      <c r="I223" s="2"/>
      <c r="J223">
        <f>INDEX('Land Area'!$C:$C,
       MATCH($B223, 'Land Area'!$B:$B, 0))</f>
        <v>68595</v>
      </c>
      <c r="K223" s="2">
        <f t="shared" si="13"/>
        <v>59.097951745754067</v>
      </c>
    </row>
    <row r="224" spans="1:11" x14ac:dyDescent="0.25">
      <c r="A224" t="s">
        <v>43</v>
      </c>
      <c r="B224">
        <v>41</v>
      </c>
      <c r="C224">
        <v>2018</v>
      </c>
      <c r="E224">
        <v>4190713</v>
      </c>
      <c r="H224">
        <v>42188</v>
      </c>
      <c r="I224" s="2"/>
      <c r="J224">
        <f>INDEX('Land Area'!$C:$C,
       MATCH($B224, 'Land Area'!$B:$B, 0))</f>
        <v>95988</v>
      </c>
      <c r="K224" s="2">
        <f t="shared" si="13"/>
        <v>43.658717756386217</v>
      </c>
    </row>
    <row r="225" spans="1:11" x14ac:dyDescent="0.25">
      <c r="A225" t="s">
        <v>43</v>
      </c>
      <c r="B225">
        <v>41</v>
      </c>
      <c r="C225">
        <v>2019</v>
      </c>
      <c r="E225">
        <v>4217737</v>
      </c>
      <c r="H225">
        <v>41858</v>
      </c>
      <c r="I225" s="2"/>
      <c r="J225">
        <f>INDEX('Land Area'!$C:$C,
       MATCH($B225, 'Land Area'!$B:$B, 0))</f>
        <v>95988</v>
      </c>
      <c r="K225" s="2">
        <f t="shared" si="13"/>
        <v>43.940252948285199</v>
      </c>
    </row>
    <row r="226" spans="1:11" x14ac:dyDescent="0.25">
      <c r="A226" t="s">
        <v>43</v>
      </c>
      <c r="B226">
        <v>41</v>
      </c>
      <c r="C226">
        <v>2020</v>
      </c>
      <c r="D226">
        <v>13</v>
      </c>
      <c r="E226">
        <v>4241507</v>
      </c>
      <c r="F226">
        <v>0.3</v>
      </c>
      <c r="G226" t="s">
        <v>5</v>
      </c>
      <c r="H226">
        <v>39820</v>
      </c>
      <c r="I226" s="2">
        <f>(D226/H226)*100000</f>
        <v>32.646911099949776</v>
      </c>
      <c r="J226">
        <f>INDEX('Land Area'!$C:$C,
       MATCH($B226, 'Land Area'!$B:$B, 0))</f>
        <v>95988</v>
      </c>
      <c r="K226" s="2">
        <f t="shared" si="13"/>
        <v>44.187888069342002</v>
      </c>
    </row>
    <row r="227" spans="1:11" x14ac:dyDescent="0.25">
      <c r="A227" t="s">
        <v>43</v>
      </c>
      <c r="B227">
        <v>41</v>
      </c>
      <c r="C227">
        <v>2021</v>
      </c>
      <c r="E227">
        <v>4246155</v>
      </c>
      <c r="H227">
        <v>40914</v>
      </c>
      <c r="I227" s="2"/>
      <c r="J227">
        <f>INDEX('Land Area'!$C:$C,
       MATCH($B227, 'Land Area'!$B:$B, 0))</f>
        <v>95988</v>
      </c>
      <c r="K227" s="2">
        <f t="shared" si="13"/>
        <v>44.236310788848606</v>
      </c>
    </row>
    <row r="228" spans="1:11" x14ac:dyDescent="0.25">
      <c r="A228" t="s">
        <v>43</v>
      </c>
      <c r="B228">
        <v>41</v>
      </c>
      <c r="C228">
        <v>2022</v>
      </c>
      <c r="E228">
        <v>4240137</v>
      </c>
      <c r="H228">
        <v>39493</v>
      </c>
      <c r="I228" s="2"/>
      <c r="J228">
        <f>INDEX('Land Area'!$C:$C,
       MATCH($B228, 'Land Area'!$B:$B, 0))</f>
        <v>95988</v>
      </c>
      <c r="K228" s="2">
        <f t="shared" si="13"/>
        <v>44.173615451931489</v>
      </c>
    </row>
    <row r="229" spans="1:11" x14ac:dyDescent="0.25">
      <c r="A229" t="s">
        <v>43</v>
      </c>
      <c r="B229">
        <v>41</v>
      </c>
      <c r="C229">
        <v>2023</v>
      </c>
      <c r="E229">
        <v>4233358</v>
      </c>
      <c r="H229">
        <v>38298</v>
      </c>
      <c r="I229" s="2"/>
      <c r="J229">
        <f>INDEX('Land Area'!$C:$C,
       MATCH($B229, 'Land Area'!$B:$B, 0))</f>
        <v>95988</v>
      </c>
      <c r="K229" s="2">
        <f t="shared" si="13"/>
        <v>44.102992040671751</v>
      </c>
    </row>
    <row r="230" spans="1:11" x14ac:dyDescent="0.25">
      <c r="A230" t="s">
        <v>44</v>
      </c>
      <c r="B230">
        <v>42</v>
      </c>
      <c r="C230">
        <v>2018</v>
      </c>
      <c r="D230">
        <v>19</v>
      </c>
      <c r="E230">
        <v>12807060</v>
      </c>
      <c r="F230">
        <v>0.1</v>
      </c>
      <c r="G230" t="s">
        <v>5</v>
      </c>
      <c r="H230">
        <v>135673</v>
      </c>
      <c r="I230" s="2">
        <f t="shared" ref="I230:I235" si="15">(D230/H230)*100000</f>
        <v>14.004260243379301</v>
      </c>
      <c r="J230">
        <f>INDEX('Land Area'!$C:$C,
       MATCH($B230, 'Land Area'!$B:$B, 0))</f>
        <v>44743</v>
      </c>
      <c r="K230" s="2">
        <f t="shared" si="13"/>
        <v>286.23605927184138</v>
      </c>
    </row>
    <row r="231" spans="1:11" x14ac:dyDescent="0.25">
      <c r="A231" t="s">
        <v>44</v>
      </c>
      <c r="B231">
        <v>42</v>
      </c>
      <c r="C231">
        <v>2019</v>
      </c>
      <c r="D231">
        <v>25</v>
      </c>
      <c r="E231">
        <v>12801989</v>
      </c>
      <c r="F231">
        <v>0.2</v>
      </c>
      <c r="H231">
        <v>134230</v>
      </c>
      <c r="I231" s="2">
        <f t="shared" si="15"/>
        <v>18.624748565894361</v>
      </c>
      <c r="J231">
        <f>INDEX('Land Area'!$C:$C,
       MATCH($B231, 'Land Area'!$B:$B, 0))</f>
        <v>44743</v>
      </c>
      <c r="K231" s="2">
        <f t="shared" si="13"/>
        <v>286.12272310752519</v>
      </c>
    </row>
    <row r="232" spans="1:11" x14ac:dyDescent="0.25">
      <c r="A232" t="s">
        <v>44</v>
      </c>
      <c r="B232">
        <v>42</v>
      </c>
      <c r="C232">
        <v>2020</v>
      </c>
      <c r="D232">
        <v>16</v>
      </c>
      <c r="E232">
        <v>12783254</v>
      </c>
      <c r="F232">
        <v>0.1</v>
      </c>
      <c r="G232" t="s">
        <v>5</v>
      </c>
      <c r="H232">
        <v>130693</v>
      </c>
      <c r="I232" s="2">
        <f t="shared" si="15"/>
        <v>12.24243073462236</v>
      </c>
      <c r="J232">
        <f>INDEX('Land Area'!$C:$C,
       MATCH($B232, 'Land Area'!$B:$B, 0))</f>
        <v>44743</v>
      </c>
      <c r="K232" s="2">
        <f t="shared" si="13"/>
        <v>285.70399839080972</v>
      </c>
    </row>
    <row r="233" spans="1:11" x14ac:dyDescent="0.25">
      <c r="A233" t="s">
        <v>44</v>
      </c>
      <c r="B233">
        <v>42</v>
      </c>
      <c r="C233">
        <v>2021</v>
      </c>
      <c r="D233">
        <v>29</v>
      </c>
      <c r="E233">
        <v>12964056</v>
      </c>
      <c r="F233">
        <v>0.2</v>
      </c>
      <c r="H233">
        <v>132622</v>
      </c>
      <c r="I233" s="2">
        <f t="shared" si="15"/>
        <v>21.866658623757747</v>
      </c>
      <c r="J233">
        <f>INDEX('Land Area'!$C:$C,
       MATCH($B233, 'Land Area'!$B:$B, 0))</f>
        <v>44743</v>
      </c>
      <c r="K233" s="2">
        <f t="shared" si="13"/>
        <v>289.74489864336323</v>
      </c>
    </row>
    <row r="234" spans="1:11" x14ac:dyDescent="0.25">
      <c r="A234" t="s">
        <v>44</v>
      </c>
      <c r="B234">
        <v>42</v>
      </c>
      <c r="C234">
        <v>2022</v>
      </c>
      <c r="D234">
        <v>27</v>
      </c>
      <c r="E234">
        <v>12972008</v>
      </c>
      <c r="F234">
        <v>0.2</v>
      </c>
      <c r="H234">
        <v>130252</v>
      </c>
      <c r="I234" s="2">
        <f t="shared" si="15"/>
        <v>20.729048306359978</v>
      </c>
      <c r="J234">
        <f>INDEX('Land Area'!$C:$C,
       MATCH($B234, 'Land Area'!$B:$B, 0))</f>
        <v>44743</v>
      </c>
      <c r="K234" s="2">
        <f t="shared" si="13"/>
        <v>289.92262476812016</v>
      </c>
    </row>
    <row r="235" spans="1:11" x14ac:dyDescent="0.25">
      <c r="A235" t="s">
        <v>44</v>
      </c>
      <c r="B235">
        <v>42</v>
      </c>
      <c r="C235">
        <v>2023</v>
      </c>
      <c r="D235">
        <v>19</v>
      </c>
      <c r="E235">
        <v>12961683</v>
      </c>
      <c r="F235">
        <v>0.1</v>
      </c>
      <c r="G235" t="s">
        <v>5</v>
      </c>
      <c r="H235">
        <v>126951</v>
      </c>
      <c r="I235" s="2">
        <f t="shared" si="15"/>
        <v>14.966404360737608</v>
      </c>
      <c r="J235">
        <f>INDEX('Land Area'!$C:$C,
       MATCH($B235, 'Land Area'!$B:$B, 0))</f>
        <v>44743</v>
      </c>
      <c r="K235" s="2">
        <f t="shared" si="13"/>
        <v>289.69186241423239</v>
      </c>
    </row>
    <row r="236" spans="1:11" x14ac:dyDescent="0.25">
      <c r="A236" t="s">
        <v>45</v>
      </c>
      <c r="B236">
        <v>44</v>
      </c>
      <c r="C236">
        <v>2018</v>
      </c>
      <c r="E236">
        <v>1057315</v>
      </c>
      <c r="H236">
        <v>10506</v>
      </c>
      <c r="I236" s="2"/>
      <c r="J236">
        <f>INDEX('Land Area'!$C:$C,
       MATCH($B236, 'Land Area'!$B:$B, 0))</f>
        <v>1034</v>
      </c>
      <c r="K236" s="2">
        <f t="shared" si="13"/>
        <v>1022.5483558994197</v>
      </c>
    </row>
    <row r="237" spans="1:11" x14ac:dyDescent="0.25">
      <c r="A237" t="s">
        <v>45</v>
      </c>
      <c r="B237">
        <v>44</v>
      </c>
      <c r="C237">
        <v>2019</v>
      </c>
      <c r="E237">
        <v>1059361</v>
      </c>
      <c r="H237">
        <v>10175</v>
      </c>
      <c r="I237" s="2"/>
      <c r="J237">
        <f>INDEX('Land Area'!$C:$C,
       MATCH($B237, 'Land Area'!$B:$B, 0))</f>
        <v>1034</v>
      </c>
      <c r="K237" s="2">
        <f t="shared" si="13"/>
        <v>1024.527079303675</v>
      </c>
    </row>
    <row r="238" spans="1:11" x14ac:dyDescent="0.25">
      <c r="A238" t="s">
        <v>45</v>
      </c>
      <c r="B238">
        <v>44</v>
      </c>
      <c r="C238">
        <v>2020</v>
      </c>
      <c r="E238">
        <v>1057125</v>
      </c>
      <c r="H238">
        <v>10101</v>
      </c>
      <c r="I238" s="2"/>
      <c r="J238">
        <f>INDEX('Land Area'!$C:$C,
       MATCH($B238, 'Land Area'!$B:$B, 0))</f>
        <v>1034</v>
      </c>
      <c r="K238" s="2">
        <f t="shared" si="13"/>
        <v>1022.3646034816247</v>
      </c>
    </row>
    <row r="239" spans="1:11" x14ac:dyDescent="0.25">
      <c r="A239" t="s">
        <v>45</v>
      </c>
      <c r="B239">
        <v>44</v>
      </c>
      <c r="C239">
        <v>2021</v>
      </c>
      <c r="E239">
        <v>1095610</v>
      </c>
      <c r="H239">
        <v>10464</v>
      </c>
      <c r="I239" s="2"/>
      <c r="J239">
        <f>INDEX('Land Area'!$C:$C,
       MATCH($B239, 'Land Area'!$B:$B, 0))</f>
        <v>1034</v>
      </c>
      <c r="K239" s="2">
        <f t="shared" si="13"/>
        <v>1059.5841392649904</v>
      </c>
    </row>
    <row r="240" spans="1:11" x14ac:dyDescent="0.25">
      <c r="A240" t="s">
        <v>45</v>
      </c>
      <c r="B240">
        <v>44</v>
      </c>
      <c r="C240">
        <v>2022</v>
      </c>
      <c r="E240">
        <v>1093734</v>
      </c>
      <c r="H240">
        <v>10269</v>
      </c>
      <c r="I240" s="2"/>
      <c r="J240">
        <f>INDEX('Land Area'!$C:$C,
       MATCH($B240, 'Land Area'!$B:$B, 0))</f>
        <v>1034</v>
      </c>
      <c r="K240" s="2">
        <f t="shared" si="13"/>
        <v>1057.7698259187621</v>
      </c>
    </row>
    <row r="241" spans="1:11" x14ac:dyDescent="0.25">
      <c r="A241" t="s">
        <v>45</v>
      </c>
      <c r="B241">
        <v>44</v>
      </c>
      <c r="C241">
        <v>2023</v>
      </c>
      <c r="E241">
        <v>1095962</v>
      </c>
      <c r="H241">
        <v>9805</v>
      </c>
      <c r="I241" s="2"/>
      <c r="J241">
        <f>INDEX('Land Area'!$C:$C,
       MATCH($B241, 'Land Area'!$B:$B, 0))</f>
        <v>1034</v>
      </c>
      <c r="K241" s="2">
        <f t="shared" si="13"/>
        <v>1059.9245647969053</v>
      </c>
    </row>
    <row r="242" spans="1:11" x14ac:dyDescent="0.25">
      <c r="A242" t="s">
        <v>46</v>
      </c>
      <c r="B242">
        <v>45</v>
      </c>
      <c r="C242">
        <v>2018</v>
      </c>
      <c r="D242">
        <v>14</v>
      </c>
      <c r="E242">
        <v>5084127</v>
      </c>
      <c r="F242">
        <v>0.3</v>
      </c>
      <c r="G242" t="s">
        <v>5</v>
      </c>
      <c r="H242">
        <v>56669</v>
      </c>
      <c r="I242" s="2">
        <f t="shared" ref="I242:I247" si="16">(D242/H242)*100000</f>
        <v>24.704865093790257</v>
      </c>
      <c r="J242">
        <f>INDEX('Land Area'!$C:$C,
       MATCH($B242, 'Land Area'!$B:$B, 0))</f>
        <v>30061</v>
      </c>
      <c r="K242" s="2">
        <f t="shared" si="13"/>
        <v>169.12700841622035</v>
      </c>
    </row>
    <row r="243" spans="1:11" x14ac:dyDescent="0.25">
      <c r="A243" t="s">
        <v>46</v>
      </c>
      <c r="B243">
        <v>45</v>
      </c>
      <c r="C243">
        <v>2019</v>
      </c>
      <c r="D243">
        <v>17</v>
      </c>
      <c r="E243">
        <v>5148714</v>
      </c>
      <c r="F243">
        <v>0.3</v>
      </c>
      <c r="G243" t="s">
        <v>5</v>
      </c>
      <c r="H243">
        <v>57038</v>
      </c>
      <c r="I243" s="2">
        <f t="shared" si="16"/>
        <v>29.804691609102704</v>
      </c>
      <c r="J243">
        <f>INDEX('Land Area'!$C:$C,
       MATCH($B243, 'Land Area'!$B:$B, 0))</f>
        <v>30061</v>
      </c>
      <c r="K243" s="2">
        <f t="shared" si="13"/>
        <v>171.27553973587041</v>
      </c>
    </row>
    <row r="244" spans="1:11" x14ac:dyDescent="0.25">
      <c r="A244" t="s">
        <v>46</v>
      </c>
      <c r="B244">
        <v>45</v>
      </c>
      <c r="C244">
        <v>2020</v>
      </c>
      <c r="D244">
        <v>18</v>
      </c>
      <c r="E244">
        <v>5218040</v>
      </c>
      <c r="F244">
        <v>0.3</v>
      </c>
      <c r="G244" t="s">
        <v>5</v>
      </c>
      <c r="H244">
        <v>55704</v>
      </c>
      <c r="I244" s="2">
        <f t="shared" si="16"/>
        <v>32.313657906074965</v>
      </c>
      <c r="J244">
        <f>INDEX('Land Area'!$C:$C,
       MATCH($B244, 'Land Area'!$B:$B, 0))</f>
        <v>30061</v>
      </c>
      <c r="K244" s="2">
        <f t="shared" si="13"/>
        <v>173.58171717507733</v>
      </c>
    </row>
    <row r="245" spans="1:11" x14ac:dyDescent="0.25">
      <c r="A245" t="s">
        <v>46</v>
      </c>
      <c r="B245">
        <v>45</v>
      </c>
      <c r="C245">
        <v>2021</v>
      </c>
      <c r="D245">
        <v>25</v>
      </c>
      <c r="E245">
        <v>5190705</v>
      </c>
      <c r="F245">
        <v>0.5</v>
      </c>
      <c r="H245">
        <v>57185</v>
      </c>
      <c r="I245" s="2">
        <f t="shared" si="16"/>
        <v>43.717758153361899</v>
      </c>
      <c r="J245">
        <f>INDEX('Land Area'!$C:$C,
       MATCH($B245, 'Land Area'!$B:$B, 0))</f>
        <v>30061</v>
      </c>
      <c r="K245" s="2">
        <f t="shared" si="13"/>
        <v>172.67239945444263</v>
      </c>
    </row>
    <row r="246" spans="1:11" x14ac:dyDescent="0.25">
      <c r="A246" t="s">
        <v>46</v>
      </c>
      <c r="B246">
        <v>45</v>
      </c>
      <c r="C246">
        <v>2022</v>
      </c>
      <c r="D246">
        <v>18</v>
      </c>
      <c r="E246">
        <v>5282634</v>
      </c>
      <c r="F246">
        <v>0.3</v>
      </c>
      <c r="G246" t="s">
        <v>5</v>
      </c>
      <c r="H246">
        <v>57820</v>
      </c>
      <c r="I246" s="2">
        <f t="shared" si="16"/>
        <v>31.131096506399171</v>
      </c>
      <c r="J246">
        <f>INDEX('Land Area'!$C:$C,
       MATCH($B246, 'Land Area'!$B:$B, 0))</f>
        <v>30061</v>
      </c>
      <c r="K246" s="2">
        <f t="shared" si="13"/>
        <v>175.73048135457901</v>
      </c>
    </row>
    <row r="247" spans="1:11" x14ac:dyDescent="0.25">
      <c r="A247" t="s">
        <v>46</v>
      </c>
      <c r="B247">
        <v>45</v>
      </c>
      <c r="C247">
        <v>2023</v>
      </c>
      <c r="D247">
        <v>12</v>
      </c>
      <c r="E247">
        <v>5373555</v>
      </c>
      <c r="F247">
        <v>0.2</v>
      </c>
      <c r="G247" t="s">
        <v>5</v>
      </c>
      <c r="H247">
        <v>57729</v>
      </c>
      <c r="I247" s="2">
        <f t="shared" si="16"/>
        <v>20.786779608169205</v>
      </c>
      <c r="J247">
        <f>INDEX('Land Area'!$C:$C,
       MATCH($B247, 'Land Area'!$B:$B, 0))</f>
        <v>30061</v>
      </c>
      <c r="K247" s="2">
        <f t="shared" si="13"/>
        <v>178.75503143607997</v>
      </c>
    </row>
    <row r="248" spans="1:11" x14ac:dyDescent="0.25">
      <c r="A248" t="s">
        <v>47</v>
      </c>
      <c r="B248">
        <v>46</v>
      </c>
      <c r="C248">
        <v>2018</v>
      </c>
      <c r="E248">
        <v>882235</v>
      </c>
      <c r="H248">
        <v>11893</v>
      </c>
      <c r="I248" s="2"/>
      <c r="J248">
        <f>INDEX('Land Area'!$C:$C,
       MATCH($B248, 'Land Area'!$B:$B, 0))</f>
        <v>77116</v>
      </c>
      <c r="K248" s="2">
        <f t="shared" si="13"/>
        <v>11.440362570672752</v>
      </c>
    </row>
    <row r="249" spans="1:11" x14ac:dyDescent="0.25">
      <c r="A249" t="s">
        <v>47</v>
      </c>
      <c r="B249">
        <v>46</v>
      </c>
      <c r="C249">
        <v>2019</v>
      </c>
      <c r="E249">
        <v>884659</v>
      </c>
      <c r="H249">
        <v>11449</v>
      </c>
      <c r="I249" s="2"/>
      <c r="J249">
        <f>INDEX('Land Area'!$C:$C,
       MATCH($B249, 'Land Area'!$B:$B, 0))</f>
        <v>77116</v>
      </c>
      <c r="K249" s="2">
        <f t="shared" si="13"/>
        <v>11.471795736293377</v>
      </c>
    </row>
    <row r="250" spans="1:11" x14ac:dyDescent="0.25">
      <c r="A250" t="s">
        <v>47</v>
      </c>
      <c r="B250">
        <v>46</v>
      </c>
      <c r="C250">
        <v>2020</v>
      </c>
      <c r="E250">
        <v>892717</v>
      </c>
      <c r="H250">
        <v>10960</v>
      </c>
      <c r="I250" s="2"/>
      <c r="J250">
        <f>INDEX('Land Area'!$C:$C,
       MATCH($B250, 'Land Area'!$B:$B, 0))</f>
        <v>77116</v>
      </c>
      <c r="K250" s="2">
        <f t="shared" si="13"/>
        <v>11.57628767052233</v>
      </c>
    </row>
    <row r="251" spans="1:11" x14ac:dyDescent="0.25">
      <c r="A251" t="s">
        <v>47</v>
      </c>
      <c r="B251">
        <v>46</v>
      </c>
      <c r="C251">
        <v>2021</v>
      </c>
      <c r="E251">
        <v>895376</v>
      </c>
      <c r="H251">
        <v>11369</v>
      </c>
      <c r="I251" s="2"/>
      <c r="J251">
        <f>INDEX('Land Area'!$C:$C,
       MATCH($B251, 'Land Area'!$B:$B, 0))</f>
        <v>77116</v>
      </c>
      <c r="K251" s="2">
        <f t="shared" si="13"/>
        <v>11.610768193371026</v>
      </c>
    </row>
    <row r="252" spans="1:11" x14ac:dyDescent="0.25">
      <c r="A252" t="s">
        <v>47</v>
      </c>
      <c r="B252">
        <v>46</v>
      </c>
      <c r="C252">
        <v>2022</v>
      </c>
      <c r="E252">
        <v>909824</v>
      </c>
      <c r="H252">
        <v>11201</v>
      </c>
      <c r="I252" s="2"/>
      <c r="J252">
        <f>INDEX('Land Area'!$C:$C,
       MATCH($B252, 'Land Area'!$B:$B, 0))</f>
        <v>77116</v>
      </c>
      <c r="K252" s="2">
        <f t="shared" si="13"/>
        <v>11.798122309248406</v>
      </c>
    </row>
    <row r="253" spans="1:11" x14ac:dyDescent="0.25">
      <c r="A253" t="s">
        <v>47</v>
      </c>
      <c r="B253">
        <v>46</v>
      </c>
      <c r="C253">
        <v>2023</v>
      </c>
      <c r="D253">
        <v>0</v>
      </c>
      <c r="E253">
        <v>919318</v>
      </c>
      <c r="F253">
        <v>0</v>
      </c>
      <c r="G253" t="s">
        <v>5</v>
      </c>
      <c r="H253">
        <v>11201</v>
      </c>
      <c r="I253" s="2">
        <f t="shared" ref="I253:I265" si="17">(D253/H253)*100000</f>
        <v>0</v>
      </c>
      <c r="J253">
        <f>INDEX('Land Area'!$C:$C,
       MATCH($B253, 'Land Area'!$B:$B, 0))</f>
        <v>77116</v>
      </c>
      <c r="K253" s="2">
        <f t="shared" si="13"/>
        <v>11.921235541262513</v>
      </c>
    </row>
    <row r="254" spans="1:11" x14ac:dyDescent="0.25">
      <c r="A254" t="s">
        <v>48</v>
      </c>
      <c r="B254">
        <v>47</v>
      </c>
      <c r="C254">
        <v>2018</v>
      </c>
      <c r="D254">
        <v>21</v>
      </c>
      <c r="E254">
        <v>6770010</v>
      </c>
      <c r="F254">
        <v>0.3</v>
      </c>
      <c r="H254">
        <v>80751</v>
      </c>
      <c r="I254" s="2">
        <f t="shared" si="17"/>
        <v>26.005869896348031</v>
      </c>
      <c r="J254">
        <f>INDEX('Land Area'!$C:$C,
       MATCH($B254, 'Land Area'!$B:$B, 0))</f>
        <v>41217</v>
      </c>
      <c r="K254" s="2">
        <f t="shared" si="13"/>
        <v>164.25285683091928</v>
      </c>
    </row>
    <row r="255" spans="1:11" x14ac:dyDescent="0.25">
      <c r="A255" t="s">
        <v>48</v>
      </c>
      <c r="B255">
        <v>47</v>
      </c>
      <c r="C255">
        <v>2019</v>
      </c>
      <c r="D255">
        <v>21</v>
      </c>
      <c r="E255">
        <v>6829174</v>
      </c>
      <c r="F255">
        <v>0.3</v>
      </c>
      <c r="H255">
        <v>80450</v>
      </c>
      <c r="I255" s="2">
        <f t="shared" si="17"/>
        <v>26.10316967060286</v>
      </c>
      <c r="J255">
        <f>INDEX('Land Area'!$C:$C,
       MATCH($B255, 'Land Area'!$B:$B, 0))</f>
        <v>41217</v>
      </c>
      <c r="K255" s="2">
        <f t="shared" si="13"/>
        <v>165.68828396050174</v>
      </c>
    </row>
    <row r="256" spans="1:11" x14ac:dyDescent="0.25">
      <c r="A256" t="s">
        <v>48</v>
      </c>
      <c r="B256">
        <v>47</v>
      </c>
      <c r="C256">
        <v>2020</v>
      </c>
      <c r="D256">
        <v>41</v>
      </c>
      <c r="E256">
        <v>6886834</v>
      </c>
      <c r="F256">
        <v>0.6</v>
      </c>
      <c r="H256">
        <v>78689</v>
      </c>
      <c r="I256" s="2">
        <f t="shared" si="17"/>
        <v>52.103851872561599</v>
      </c>
      <c r="J256">
        <f>INDEX('Land Area'!$C:$C,
       MATCH($B256, 'Land Area'!$B:$B, 0))</f>
        <v>41217</v>
      </c>
      <c r="K256" s="2">
        <f t="shared" si="13"/>
        <v>167.08722129218526</v>
      </c>
    </row>
    <row r="257" spans="1:11" x14ac:dyDescent="0.25">
      <c r="A257" t="s">
        <v>48</v>
      </c>
      <c r="B257">
        <v>47</v>
      </c>
      <c r="C257">
        <v>2021</v>
      </c>
      <c r="D257">
        <v>51</v>
      </c>
      <c r="E257">
        <v>6975218</v>
      </c>
      <c r="F257">
        <v>0.7</v>
      </c>
      <c r="H257">
        <v>81717</v>
      </c>
      <c r="I257" s="2">
        <f t="shared" si="17"/>
        <v>62.410514336062263</v>
      </c>
      <c r="J257">
        <f>INDEX('Land Area'!$C:$C,
       MATCH($B257, 'Land Area'!$B:$B, 0))</f>
        <v>41217</v>
      </c>
      <c r="K257" s="2">
        <f t="shared" si="13"/>
        <v>169.23157920275614</v>
      </c>
    </row>
    <row r="258" spans="1:11" x14ac:dyDescent="0.25">
      <c r="A258" t="s">
        <v>48</v>
      </c>
      <c r="B258">
        <v>47</v>
      </c>
      <c r="C258">
        <v>2022</v>
      </c>
      <c r="D258">
        <v>32</v>
      </c>
      <c r="E258">
        <v>7051339</v>
      </c>
      <c r="F258">
        <v>0.5</v>
      </c>
      <c r="H258">
        <v>82265</v>
      </c>
      <c r="I258" s="2">
        <f t="shared" si="17"/>
        <v>38.898681091594241</v>
      </c>
      <c r="J258">
        <f>INDEX('Land Area'!$C:$C,
       MATCH($B258, 'Land Area'!$B:$B, 0))</f>
        <v>41217</v>
      </c>
      <c r="K258" s="2">
        <f t="shared" ref="K258:K307" si="18">E258/J258</f>
        <v>171.07841424654876</v>
      </c>
    </row>
    <row r="259" spans="1:11" x14ac:dyDescent="0.25">
      <c r="A259" t="s">
        <v>48</v>
      </c>
      <c r="B259">
        <v>47</v>
      </c>
      <c r="C259">
        <v>2023</v>
      </c>
      <c r="D259">
        <v>26</v>
      </c>
      <c r="E259">
        <v>7126489</v>
      </c>
      <c r="F259">
        <v>0.4</v>
      </c>
      <c r="H259">
        <v>83021</v>
      </c>
      <c r="I259" s="2">
        <f t="shared" si="17"/>
        <v>31.317377530986139</v>
      </c>
      <c r="J259">
        <f>INDEX('Land Area'!$C:$C,
       MATCH($B259, 'Land Area'!$B:$B, 0))</f>
        <v>41217</v>
      </c>
      <c r="K259" s="2">
        <f t="shared" si="18"/>
        <v>172.90169104980956</v>
      </c>
    </row>
    <row r="260" spans="1:11" x14ac:dyDescent="0.25">
      <c r="A260" t="s">
        <v>49</v>
      </c>
      <c r="B260">
        <v>48</v>
      </c>
      <c r="C260">
        <v>2018</v>
      </c>
      <c r="D260">
        <v>70</v>
      </c>
      <c r="E260">
        <v>28701845</v>
      </c>
      <c r="F260">
        <v>0.2</v>
      </c>
      <c r="H260">
        <v>378624</v>
      </c>
      <c r="I260" s="2">
        <f t="shared" si="17"/>
        <v>18.487998647734955</v>
      </c>
      <c r="J260">
        <f>INDEX('Land Area'!$C:$C,
       MATCH($B260, 'Land Area'!$B:$B, 0))</f>
        <v>261232</v>
      </c>
      <c r="K260" s="2">
        <f t="shared" si="18"/>
        <v>109.87109159674159</v>
      </c>
    </row>
    <row r="261" spans="1:11" x14ac:dyDescent="0.25">
      <c r="A261" t="s">
        <v>49</v>
      </c>
      <c r="B261">
        <v>48</v>
      </c>
      <c r="C261">
        <v>2019</v>
      </c>
      <c r="D261">
        <v>69</v>
      </c>
      <c r="E261">
        <v>28995881</v>
      </c>
      <c r="F261">
        <v>0.2</v>
      </c>
      <c r="H261">
        <v>377599</v>
      </c>
      <c r="I261" s="2">
        <f t="shared" si="17"/>
        <v>18.273353478160693</v>
      </c>
      <c r="J261">
        <f>INDEX('Land Area'!$C:$C,
       MATCH($B261, 'Land Area'!$B:$B, 0))</f>
        <v>261232</v>
      </c>
      <c r="K261" s="2">
        <f t="shared" si="18"/>
        <v>110.99666579898327</v>
      </c>
    </row>
    <row r="262" spans="1:11" x14ac:dyDescent="0.25">
      <c r="A262" t="s">
        <v>49</v>
      </c>
      <c r="B262">
        <v>48</v>
      </c>
      <c r="C262">
        <v>2020</v>
      </c>
      <c r="D262">
        <v>118</v>
      </c>
      <c r="E262">
        <v>29360759</v>
      </c>
      <c r="F262">
        <v>0.4</v>
      </c>
      <c r="H262">
        <v>368190</v>
      </c>
      <c r="I262" s="2">
        <f t="shared" si="17"/>
        <v>32.048670523371086</v>
      </c>
      <c r="J262">
        <f>INDEX('Land Area'!$C:$C,
       MATCH($B262, 'Land Area'!$B:$B, 0))</f>
        <v>261232</v>
      </c>
      <c r="K262" s="2">
        <f t="shared" si="18"/>
        <v>112.39342423592822</v>
      </c>
    </row>
    <row r="263" spans="1:11" x14ac:dyDescent="0.25">
      <c r="A263" t="s">
        <v>49</v>
      </c>
      <c r="B263">
        <v>48</v>
      </c>
      <c r="C263">
        <v>2021</v>
      </c>
      <c r="D263">
        <v>164</v>
      </c>
      <c r="E263">
        <v>29527941</v>
      </c>
      <c r="F263">
        <v>0.6</v>
      </c>
      <c r="H263">
        <v>373594</v>
      </c>
      <c r="I263" s="2">
        <f t="shared" si="17"/>
        <v>43.897921272825577</v>
      </c>
      <c r="J263">
        <f>INDEX('Land Area'!$C:$C,
       MATCH($B263, 'Land Area'!$B:$B, 0))</f>
        <v>261232</v>
      </c>
      <c r="K263" s="2">
        <f t="shared" si="18"/>
        <v>113.03339943039137</v>
      </c>
    </row>
    <row r="264" spans="1:11" x14ac:dyDescent="0.25">
      <c r="A264" t="s">
        <v>49</v>
      </c>
      <c r="B264">
        <v>48</v>
      </c>
      <c r="C264">
        <v>2022</v>
      </c>
      <c r="D264">
        <v>111</v>
      </c>
      <c r="E264">
        <v>30029572</v>
      </c>
      <c r="F264">
        <v>0.4</v>
      </c>
      <c r="H264">
        <v>389741</v>
      </c>
      <c r="I264" s="2">
        <f t="shared" si="17"/>
        <v>28.480452403006097</v>
      </c>
      <c r="J264">
        <f>INDEX('Land Area'!$C:$C,
       MATCH($B264, 'Land Area'!$B:$B, 0))</f>
        <v>261232</v>
      </c>
      <c r="K264" s="2">
        <f t="shared" si="18"/>
        <v>114.95365039505114</v>
      </c>
    </row>
    <row r="265" spans="1:11" x14ac:dyDescent="0.25">
      <c r="A265" t="s">
        <v>49</v>
      </c>
      <c r="B265">
        <v>48</v>
      </c>
      <c r="C265">
        <v>2023</v>
      </c>
      <c r="D265">
        <v>94</v>
      </c>
      <c r="E265">
        <v>30503301</v>
      </c>
      <c r="F265">
        <v>0.3</v>
      </c>
      <c r="H265">
        <v>387945</v>
      </c>
      <c r="I265" s="2">
        <f t="shared" si="17"/>
        <v>24.230238822513499</v>
      </c>
      <c r="J265">
        <f>INDEX('Land Area'!$C:$C,
       MATCH($B265, 'Land Area'!$B:$B, 0))</f>
        <v>261232</v>
      </c>
      <c r="K265" s="2">
        <f t="shared" si="18"/>
        <v>116.7670920867275</v>
      </c>
    </row>
    <row r="266" spans="1:11" x14ac:dyDescent="0.25">
      <c r="A266" t="s">
        <v>50</v>
      </c>
      <c r="B266">
        <v>49</v>
      </c>
      <c r="C266">
        <v>2018</v>
      </c>
      <c r="E266">
        <v>3161105</v>
      </c>
      <c r="H266">
        <v>47209</v>
      </c>
      <c r="I266" s="2"/>
      <c r="J266">
        <f>INDEX('Land Area'!$C:$C,
       MATCH($B266, 'Land Area'!$B:$B, 0))</f>
        <v>84899</v>
      </c>
      <c r="K266" s="2">
        <f t="shared" si="18"/>
        <v>37.233713000153124</v>
      </c>
    </row>
    <row r="267" spans="1:11" x14ac:dyDescent="0.25">
      <c r="A267" t="s">
        <v>50</v>
      </c>
      <c r="B267">
        <v>49</v>
      </c>
      <c r="C267">
        <v>2019</v>
      </c>
      <c r="D267">
        <v>11</v>
      </c>
      <c r="E267">
        <v>3205958</v>
      </c>
      <c r="F267">
        <v>0.3</v>
      </c>
      <c r="G267" t="s">
        <v>5</v>
      </c>
      <c r="H267">
        <v>46826</v>
      </c>
      <c r="I267" s="2">
        <f>(D267/H267)*100000</f>
        <v>23.491222824926322</v>
      </c>
      <c r="J267">
        <f>INDEX('Land Area'!$C:$C,
       MATCH($B267, 'Land Area'!$B:$B, 0))</f>
        <v>84899</v>
      </c>
      <c r="K267" s="2">
        <f t="shared" si="18"/>
        <v>37.762023109812837</v>
      </c>
    </row>
    <row r="268" spans="1:11" x14ac:dyDescent="0.25">
      <c r="A268" t="s">
        <v>50</v>
      </c>
      <c r="B268">
        <v>49</v>
      </c>
      <c r="C268">
        <v>2020</v>
      </c>
      <c r="E268">
        <v>3249879</v>
      </c>
      <c r="H268">
        <v>45702</v>
      </c>
      <c r="I268" s="2"/>
      <c r="J268">
        <f>INDEX('Land Area'!$C:$C,
       MATCH($B268, 'Land Area'!$B:$B, 0))</f>
        <v>84899</v>
      </c>
      <c r="K268" s="2">
        <f t="shared" si="18"/>
        <v>38.279355469440155</v>
      </c>
    </row>
    <row r="269" spans="1:11" x14ac:dyDescent="0.25">
      <c r="A269" t="s">
        <v>50</v>
      </c>
      <c r="B269">
        <v>49</v>
      </c>
      <c r="C269">
        <v>2021</v>
      </c>
      <c r="D269">
        <v>13</v>
      </c>
      <c r="E269">
        <v>3337975</v>
      </c>
      <c r="F269">
        <v>0.4</v>
      </c>
      <c r="G269" t="s">
        <v>5</v>
      </c>
      <c r="H269">
        <v>46712</v>
      </c>
      <c r="I269" s="2">
        <f>(D269/H269)*100000</f>
        <v>27.830107895187531</v>
      </c>
      <c r="J269">
        <f>INDEX('Land Area'!$C:$C,
       MATCH($B269, 'Land Area'!$B:$B, 0))</f>
        <v>84899</v>
      </c>
      <c r="K269" s="2">
        <f t="shared" si="18"/>
        <v>39.317011978939682</v>
      </c>
    </row>
    <row r="270" spans="1:11" x14ac:dyDescent="0.25">
      <c r="A270" t="s">
        <v>50</v>
      </c>
      <c r="B270">
        <v>49</v>
      </c>
      <c r="C270">
        <v>2022</v>
      </c>
      <c r="E270">
        <v>3380800</v>
      </c>
      <c r="H270">
        <v>45768</v>
      </c>
      <c r="I270" s="2"/>
      <c r="J270">
        <f>INDEX('Land Area'!$C:$C,
       MATCH($B270, 'Land Area'!$B:$B, 0))</f>
        <v>84899</v>
      </c>
      <c r="K270" s="2">
        <f t="shared" si="18"/>
        <v>39.821434881447367</v>
      </c>
    </row>
    <row r="271" spans="1:11" x14ac:dyDescent="0.25">
      <c r="A271" t="s">
        <v>50</v>
      </c>
      <c r="B271">
        <v>49</v>
      </c>
      <c r="C271">
        <v>2023</v>
      </c>
      <c r="E271">
        <v>3417734</v>
      </c>
      <c r="H271">
        <v>45019</v>
      </c>
      <c r="I271" s="2"/>
      <c r="J271">
        <f>INDEX('Land Area'!$C:$C,
       MATCH($B271, 'Land Area'!$B:$B, 0))</f>
        <v>84899</v>
      </c>
      <c r="K271" s="2">
        <f t="shared" si="18"/>
        <v>40.256469451937008</v>
      </c>
    </row>
    <row r="272" spans="1:11" x14ac:dyDescent="0.25">
      <c r="A272" t="s">
        <v>51</v>
      </c>
      <c r="B272">
        <v>50</v>
      </c>
      <c r="C272">
        <v>2018</v>
      </c>
      <c r="D272">
        <v>0</v>
      </c>
      <c r="E272">
        <v>626299</v>
      </c>
      <c r="F272">
        <v>0</v>
      </c>
      <c r="G272" t="s">
        <v>5</v>
      </c>
      <c r="H272">
        <v>5432</v>
      </c>
      <c r="I272" s="2">
        <f>(D272/H272)*100000</f>
        <v>0</v>
      </c>
      <c r="J272">
        <f>INDEX('Land Area'!$C:$C,
       MATCH($B272, 'Land Area'!$B:$B, 0))</f>
        <v>9616</v>
      </c>
      <c r="K272" s="2">
        <f t="shared" si="18"/>
        <v>65.130927620632278</v>
      </c>
    </row>
    <row r="273" spans="1:11" x14ac:dyDescent="0.25">
      <c r="A273" t="s">
        <v>51</v>
      </c>
      <c r="B273">
        <v>50</v>
      </c>
      <c r="C273">
        <v>2019</v>
      </c>
      <c r="E273">
        <v>623989</v>
      </c>
      <c r="H273">
        <v>5361</v>
      </c>
      <c r="I273" s="2"/>
      <c r="J273">
        <f>INDEX('Land Area'!$C:$C,
       MATCH($B273, 'Land Area'!$B:$B, 0))</f>
        <v>9616</v>
      </c>
      <c r="K273" s="2">
        <f t="shared" si="18"/>
        <v>64.890702995008326</v>
      </c>
    </row>
    <row r="274" spans="1:11" x14ac:dyDescent="0.25">
      <c r="A274" t="s">
        <v>51</v>
      </c>
      <c r="B274">
        <v>50</v>
      </c>
      <c r="C274">
        <v>2020</v>
      </c>
      <c r="D274">
        <v>0</v>
      </c>
      <c r="E274">
        <v>623347</v>
      </c>
      <c r="F274">
        <v>0</v>
      </c>
      <c r="G274" t="s">
        <v>5</v>
      </c>
      <c r="H274">
        <v>5133</v>
      </c>
      <c r="I274" s="2">
        <f t="shared" ref="I274:I287" si="19">(D274/H274)*100000</f>
        <v>0</v>
      </c>
      <c r="J274">
        <f>INDEX('Land Area'!$C:$C,
       MATCH($B274, 'Land Area'!$B:$B, 0))</f>
        <v>9616</v>
      </c>
      <c r="K274" s="2">
        <f t="shared" si="18"/>
        <v>64.823939267886857</v>
      </c>
    </row>
    <row r="275" spans="1:11" x14ac:dyDescent="0.25">
      <c r="A275" t="s">
        <v>51</v>
      </c>
      <c r="B275">
        <v>50</v>
      </c>
      <c r="C275">
        <v>2021</v>
      </c>
      <c r="D275">
        <v>0</v>
      </c>
      <c r="E275">
        <v>645570</v>
      </c>
      <c r="F275">
        <v>0</v>
      </c>
      <c r="G275" t="s">
        <v>5</v>
      </c>
      <c r="H275">
        <v>5384</v>
      </c>
      <c r="I275" s="2">
        <f t="shared" si="19"/>
        <v>0</v>
      </c>
      <c r="J275">
        <f>INDEX('Land Area'!$C:$C,
       MATCH($B275, 'Land Area'!$B:$B, 0))</f>
        <v>9616</v>
      </c>
      <c r="K275" s="2">
        <f t="shared" si="18"/>
        <v>67.134983361064897</v>
      </c>
    </row>
    <row r="276" spans="1:11" x14ac:dyDescent="0.25">
      <c r="A276" t="s">
        <v>51</v>
      </c>
      <c r="B276">
        <v>50</v>
      </c>
      <c r="C276">
        <v>2022</v>
      </c>
      <c r="D276">
        <v>0</v>
      </c>
      <c r="E276">
        <v>647064</v>
      </c>
      <c r="F276">
        <v>0</v>
      </c>
      <c r="G276" t="s">
        <v>5</v>
      </c>
      <c r="H276">
        <v>5316</v>
      </c>
      <c r="I276" s="2">
        <f t="shared" si="19"/>
        <v>0</v>
      </c>
      <c r="J276">
        <f>INDEX('Land Area'!$C:$C,
       MATCH($B276, 'Land Area'!$B:$B, 0))</f>
        <v>9616</v>
      </c>
      <c r="K276" s="2">
        <f t="shared" si="18"/>
        <v>67.290349417637273</v>
      </c>
    </row>
    <row r="277" spans="1:11" x14ac:dyDescent="0.25">
      <c r="A277" t="s">
        <v>51</v>
      </c>
      <c r="B277">
        <v>50</v>
      </c>
      <c r="C277">
        <v>2023</v>
      </c>
      <c r="D277">
        <v>0</v>
      </c>
      <c r="E277">
        <v>647464</v>
      </c>
      <c r="F277">
        <v>0</v>
      </c>
      <c r="G277" t="s">
        <v>5</v>
      </c>
      <c r="H277">
        <v>5065</v>
      </c>
      <c r="I277" s="2">
        <f t="shared" si="19"/>
        <v>0</v>
      </c>
      <c r="J277">
        <f>INDEX('Land Area'!$C:$C,
       MATCH($B277, 'Land Area'!$B:$B, 0))</f>
        <v>9616</v>
      </c>
      <c r="K277" s="2">
        <f t="shared" si="18"/>
        <v>67.331946755407657</v>
      </c>
    </row>
    <row r="278" spans="1:11" x14ac:dyDescent="0.25">
      <c r="A278" t="s">
        <v>52</v>
      </c>
      <c r="B278">
        <v>51</v>
      </c>
      <c r="C278">
        <v>2018</v>
      </c>
      <c r="D278">
        <v>16</v>
      </c>
      <c r="E278">
        <v>8517685</v>
      </c>
      <c r="F278">
        <v>0.2</v>
      </c>
      <c r="G278" t="s">
        <v>5</v>
      </c>
      <c r="H278">
        <v>99843</v>
      </c>
      <c r="I278" s="2">
        <f t="shared" si="19"/>
        <v>16.025159500415651</v>
      </c>
      <c r="J278">
        <f>INDEX('Land Area'!$C:$C,
       MATCH($B278, 'Land Area'!$B:$B, 0))</f>
        <v>39490</v>
      </c>
      <c r="K278" s="2">
        <f t="shared" si="18"/>
        <v>215.69220055710306</v>
      </c>
    </row>
    <row r="279" spans="1:11" x14ac:dyDescent="0.25">
      <c r="A279" t="s">
        <v>52</v>
      </c>
      <c r="B279">
        <v>51</v>
      </c>
      <c r="C279">
        <v>2019</v>
      </c>
      <c r="D279">
        <v>21</v>
      </c>
      <c r="E279">
        <v>8535519</v>
      </c>
      <c r="F279">
        <v>0.2</v>
      </c>
      <c r="H279">
        <v>97429</v>
      </c>
      <c r="I279" s="2">
        <f t="shared" si="19"/>
        <v>21.554157386404459</v>
      </c>
      <c r="J279">
        <f>INDEX('Land Area'!$C:$C,
       MATCH($B279, 'Land Area'!$B:$B, 0))</f>
        <v>39490</v>
      </c>
      <c r="K279" s="2">
        <f t="shared" si="18"/>
        <v>216.1438085591289</v>
      </c>
    </row>
    <row r="280" spans="1:11" x14ac:dyDescent="0.25">
      <c r="A280" t="s">
        <v>52</v>
      </c>
      <c r="B280">
        <v>51</v>
      </c>
      <c r="C280">
        <v>2020</v>
      </c>
      <c r="D280">
        <v>28</v>
      </c>
      <c r="E280">
        <v>8590563</v>
      </c>
      <c r="F280">
        <v>0.3</v>
      </c>
      <c r="H280">
        <v>94749</v>
      </c>
      <c r="I280" s="2">
        <f t="shared" si="19"/>
        <v>29.55176307929371</v>
      </c>
      <c r="J280">
        <f>INDEX('Land Area'!$C:$C,
       MATCH($B280, 'Land Area'!$B:$B, 0))</f>
        <v>39490</v>
      </c>
      <c r="K280" s="2">
        <f t="shared" si="18"/>
        <v>217.53768042542416</v>
      </c>
    </row>
    <row r="281" spans="1:11" x14ac:dyDescent="0.25">
      <c r="A281" t="s">
        <v>52</v>
      </c>
      <c r="B281">
        <v>51</v>
      </c>
      <c r="C281">
        <v>2021</v>
      </c>
      <c r="D281">
        <v>48</v>
      </c>
      <c r="E281">
        <v>8642274</v>
      </c>
      <c r="F281">
        <v>0.6</v>
      </c>
      <c r="H281">
        <v>95825</v>
      </c>
      <c r="I281" s="2">
        <f t="shared" si="19"/>
        <v>50.091312288025044</v>
      </c>
      <c r="J281">
        <f>INDEX('Land Area'!$C:$C,
       MATCH($B281, 'Land Area'!$B:$B, 0))</f>
        <v>39490</v>
      </c>
      <c r="K281" s="2">
        <f t="shared" si="18"/>
        <v>218.8471511775133</v>
      </c>
    </row>
    <row r="282" spans="1:11" x14ac:dyDescent="0.25">
      <c r="A282" t="s">
        <v>52</v>
      </c>
      <c r="B282">
        <v>51</v>
      </c>
      <c r="C282">
        <v>2022</v>
      </c>
      <c r="D282">
        <v>45</v>
      </c>
      <c r="E282">
        <v>8683619</v>
      </c>
      <c r="F282">
        <v>0.5</v>
      </c>
      <c r="H282">
        <v>95630</v>
      </c>
      <c r="I282" s="2">
        <f t="shared" si="19"/>
        <v>47.056363065983476</v>
      </c>
      <c r="J282">
        <f>INDEX('Land Area'!$C:$C,
       MATCH($B282, 'Land Area'!$B:$B, 0))</f>
        <v>39490</v>
      </c>
      <c r="K282" s="2">
        <f t="shared" si="18"/>
        <v>219.89412509496074</v>
      </c>
    </row>
    <row r="283" spans="1:11" x14ac:dyDescent="0.25">
      <c r="A283" t="s">
        <v>52</v>
      </c>
      <c r="B283">
        <v>51</v>
      </c>
      <c r="C283">
        <v>2023</v>
      </c>
      <c r="D283">
        <v>17</v>
      </c>
      <c r="E283">
        <v>8715698</v>
      </c>
      <c r="F283">
        <v>0.2</v>
      </c>
      <c r="G283" t="s">
        <v>5</v>
      </c>
      <c r="H283">
        <v>92649</v>
      </c>
      <c r="I283" s="2">
        <f t="shared" si="19"/>
        <v>18.348821897699921</v>
      </c>
      <c r="J283">
        <f>INDEX('Land Area'!$C:$C,
       MATCH($B283, 'Land Area'!$B:$B, 0))</f>
        <v>39490</v>
      </c>
      <c r="K283" s="2">
        <f t="shared" si="18"/>
        <v>220.70645733096987</v>
      </c>
    </row>
    <row r="284" spans="1:11" x14ac:dyDescent="0.25">
      <c r="A284" t="s">
        <v>53</v>
      </c>
      <c r="B284">
        <v>53</v>
      </c>
      <c r="C284">
        <v>2018</v>
      </c>
      <c r="D284">
        <v>13</v>
      </c>
      <c r="E284">
        <v>7535591</v>
      </c>
      <c r="F284">
        <v>0.2</v>
      </c>
      <c r="G284" t="s">
        <v>5</v>
      </c>
      <c r="H284">
        <v>86085</v>
      </c>
      <c r="I284" s="2">
        <f t="shared" si="19"/>
        <v>15.10135331358541</v>
      </c>
      <c r="J284">
        <f>INDEX('Land Area'!$C:$C,
       MATCH($B284, 'Land Area'!$B:$B, 0))</f>
        <v>66544</v>
      </c>
      <c r="K284" s="2">
        <f t="shared" si="18"/>
        <v>113.24223070449628</v>
      </c>
    </row>
    <row r="285" spans="1:11" x14ac:dyDescent="0.25">
      <c r="A285" t="s">
        <v>53</v>
      </c>
      <c r="B285">
        <v>53</v>
      </c>
      <c r="C285">
        <v>2019</v>
      </c>
      <c r="D285">
        <v>23</v>
      </c>
      <c r="E285">
        <v>7614893</v>
      </c>
      <c r="F285">
        <v>0.3</v>
      </c>
      <c r="H285">
        <v>84895</v>
      </c>
      <c r="I285" s="2">
        <f t="shared" si="19"/>
        <v>27.092290476470932</v>
      </c>
      <c r="J285">
        <f>INDEX('Land Area'!$C:$C,
       MATCH($B285, 'Land Area'!$B:$B, 0))</f>
        <v>66544</v>
      </c>
      <c r="K285" s="2">
        <f t="shared" si="18"/>
        <v>114.43395347439288</v>
      </c>
    </row>
    <row r="286" spans="1:11" x14ac:dyDescent="0.25">
      <c r="A286" t="s">
        <v>53</v>
      </c>
      <c r="B286">
        <v>53</v>
      </c>
      <c r="C286">
        <v>2020</v>
      </c>
      <c r="D286">
        <v>16</v>
      </c>
      <c r="E286">
        <v>7693612</v>
      </c>
      <c r="F286">
        <v>0.2</v>
      </c>
      <c r="G286" t="s">
        <v>5</v>
      </c>
      <c r="H286">
        <v>83086</v>
      </c>
      <c r="I286" s="2">
        <f t="shared" si="19"/>
        <v>19.257155236742655</v>
      </c>
      <c r="J286">
        <f>INDEX('Land Area'!$C:$C,
       MATCH($B286, 'Land Area'!$B:$B, 0))</f>
        <v>66544</v>
      </c>
      <c r="K286" s="2">
        <f t="shared" si="18"/>
        <v>115.61691512382784</v>
      </c>
    </row>
    <row r="287" spans="1:11" x14ac:dyDescent="0.25">
      <c r="A287" t="s">
        <v>53</v>
      </c>
      <c r="B287">
        <v>53</v>
      </c>
      <c r="C287">
        <v>2021</v>
      </c>
      <c r="D287">
        <v>17</v>
      </c>
      <c r="E287">
        <v>7738692</v>
      </c>
      <c r="F287">
        <v>0.2</v>
      </c>
      <c r="G287" t="s">
        <v>5</v>
      </c>
      <c r="H287">
        <v>83911</v>
      </c>
      <c r="I287" s="2">
        <f t="shared" si="19"/>
        <v>20.259560725053927</v>
      </c>
      <c r="J287">
        <f>INDEX('Land Area'!$C:$C,
       MATCH($B287, 'Land Area'!$B:$B, 0))</f>
        <v>66544</v>
      </c>
      <c r="K287" s="2">
        <f t="shared" si="18"/>
        <v>116.29436162539072</v>
      </c>
    </row>
    <row r="288" spans="1:11" x14ac:dyDescent="0.25">
      <c r="A288" t="s">
        <v>53</v>
      </c>
      <c r="B288">
        <v>53</v>
      </c>
      <c r="C288">
        <v>2022</v>
      </c>
      <c r="E288">
        <v>7785786</v>
      </c>
      <c r="H288">
        <v>83333</v>
      </c>
      <c r="I288" s="2"/>
      <c r="J288">
        <f>INDEX('Land Area'!$C:$C,
       MATCH($B288, 'Land Area'!$B:$B, 0))</f>
        <v>66544</v>
      </c>
      <c r="K288" s="2">
        <f t="shared" si="18"/>
        <v>117.00207381582111</v>
      </c>
    </row>
    <row r="289" spans="1:11" x14ac:dyDescent="0.25">
      <c r="A289" t="s">
        <v>53</v>
      </c>
      <c r="B289">
        <v>53</v>
      </c>
      <c r="C289">
        <v>2023</v>
      </c>
      <c r="E289">
        <v>7812880</v>
      </c>
      <c r="H289">
        <v>80932</v>
      </c>
      <c r="I289" s="2"/>
      <c r="J289">
        <f>INDEX('Land Area'!$C:$C,
       MATCH($B289, 'Land Area'!$B:$B, 0))</f>
        <v>66544</v>
      </c>
      <c r="K289" s="2">
        <f t="shared" si="18"/>
        <v>117.4092329886992</v>
      </c>
    </row>
    <row r="290" spans="1:11" x14ac:dyDescent="0.25">
      <c r="A290" t="s">
        <v>54</v>
      </c>
      <c r="B290">
        <v>54</v>
      </c>
      <c r="C290">
        <v>2018</v>
      </c>
      <c r="E290">
        <v>1805832</v>
      </c>
      <c r="H290">
        <v>18248</v>
      </c>
      <c r="I290" s="2"/>
      <c r="J290">
        <f>INDEX('Land Area'!$C:$C,
       MATCH($B290, 'Land Area'!$B:$B, 0))</f>
        <v>24038</v>
      </c>
      <c r="K290" s="2">
        <f t="shared" si="18"/>
        <v>75.124053581828775</v>
      </c>
    </row>
    <row r="291" spans="1:11" x14ac:dyDescent="0.25">
      <c r="A291" t="s">
        <v>54</v>
      </c>
      <c r="B291">
        <v>54</v>
      </c>
      <c r="C291">
        <v>2019</v>
      </c>
      <c r="E291">
        <v>1792147</v>
      </c>
      <c r="H291">
        <v>18136</v>
      </c>
      <c r="I291" s="2"/>
      <c r="J291">
        <f>INDEX('Land Area'!$C:$C,
       MATCH($B291, 'Land Area'!$B:$B, 0))</f>
        <v>24038</v>
      </c>
      <c r="K291" s="2">
        <f t="shared" si="18"/>
        <v>74.554746651135702</v>
      </c>
    </row>
    <row r="292" spans="1:11" x14ac:dyDescent="0.25">
      <c r="A292" t="s">
        <v>54</v>
      </c>
      <c r="B292">
        <v>54</v>
      </c>
      <c r="C292">
        <v>2020</v>
      </c>
      <c r="E292">
        <v>1784787</v>
      </c>
      <c r="H292">
        <v>17323</v>
      </c>
      <c r="I292" s="2"/>
      <c r="J292">
        <f>INDEX('Land Area'!$C:$C,
       MATCH($B292, 'Land Area'!$B:$B, 0))</f>
        <v>24038</v>
      </c>
      <c r="K292" s="2">
        <f t="shared" si="18"/>
        <v>74.248564772443629</v>
      </c>
    </row>
    <row r="293" spans="1:11" x14ac:dyDescent="0.25">
      <c r="A293" t="s">
        <v>54</v>
      </c>
      <c r="B293">
        <v>54</v>
      </c>
      <c r="C293">
        <v>2021</v>
      </c>
      <c r="E293">
        <v>1782959</v>
      </c>
      <c r="H293">
        <v>17198</v>
      </c>
      <c r="I293" s="2"/>
      <c r="J293">
        <f>INDEX('Land Area'!$C:$C,
       MATCH($B293, 'Land Area'!$B:$B, 0))</f>
        <v>24038</v>
      </c>
      <c r="K293" s="2">
        <f t="shared" si="18"/>
        <v>74.172518512355438</v>
      </c>
    </row>
    <row r="294" spans="1:11" x14ac:dyDescent="0.25">
      <c r="A294" t="s">
        <v>54</v>
      </c>
      <c r="B294">
        <v>54</v>
      </c>
      <c r="C294">
        <v>2022</v>
      </c>
      <c r="E294">
        <v>1775156</v>
      </c>
      <c r="H294">
        <v>16929</v>
      </c>
      <c r="I294" s="2"/>
      <c r="J294">
        <f>INDEX('Land Area'!$C:$C,
       MATCH($B294, 'Land Area'!$B:$B, 0))</f>
        <v>24038</v>
      </c>
      <c r="K294" s="2">
        <f t="shared" si="18"/>
        <v>73.847907479823618</v>
      </c>
    </row>
    <row r="295" spans="1:11" x14ac:dyDescent="0.25">
      <c r="A295" t="s">
        <v>54</v>
      </c>
      <c r="B295">
        <v>54</v>
      </c>
      <c r="C295">
        <v>2023</v>
      </c>
      <c r="E295">
        <v>1770071</v>
      </c>
      <c r="H295">
        <v>16606</v>
      </c>
      <c r="I295" s="2"/>
      <c r="J295">
        <f>INDEX('Land Area'!$C:$C,
       MATCH($B295, 'Land Area'!$B:$B, 0))</f>
        <v>24038</v>
      </c>
      <c r="K295" s="2">
        <f t="shared" si="18"/>
        <v>73.636367418254437</v>
      </c>
    </row>
    <row r="296" spans="1:11" x14ac:dyDescent="0.25">
      <c r="A296" t="s">
        <v>55</v>
      </c>
      <c r="B296">
        <v>55</v>
      </c>
      <c r="C296">
        <v>2018</v>
      </c>
      <c r="E296">
        <v>5813568</v>
      </c>
      <c r="H296">
        <v>64098</v>
      </c>
      <c r="I296" s="2"/>
      <c r="J296">
        <f>INDEX('Land Area'!$C:$C,
       MATCH($B296, 'Land Area'!$B:$B, 0))</f>
        <v>54158</v>
      </c>
      <c r="K296" s="2">
        <f t="shared" si="18"/>
        <v>107.34458436426752</v>
      </c>
    </row>
    <row r="297" spans="1:11" x14ac:dyDescent="0.25">
      <c r="A297" t="s">
        <v>55</v>
      </c>
      <c r="B297">
        <v>55</v>
      </c>
      <c r="C297">
        <v>2019</v>
      </c>
      <c r="E297">
        <v>5822434</v>
      </c>
      <c r="H297">
        <v>63270</v>
      </c>
      <c r="I297" s="2"/>
      <c r="J297">
        <f>INDEX('Land Area'!$C:$C,
       MATCH($B297, 'Land Area'!$B:$B, 0))</f>
        <v>54158</v>
      </c>
      <c r="K297" s="2">
        <f t="shared" si="18"/>
        <v>107.50829055725839</v>
      </c>
    </row>
    <row r="298" spans="1:11" x14ac:dyDescent="0.25">
      <c r="A298" t="s">
        <v>55</v>
      </c>
      <c r="B298">
        <v>55</v>
      </c>
      <c r="C298">
        <v>2020</v>
      </c>
      <c r="E298">
        <v>5832655</v>
      </c>
      <c r="H298">
        <v>60594</v>
      </c>
      <c r="I298" s="2"/>
      <c r="J298">
        <f>INDEX('Land Area'!$C:$C,
       MATCH($B298, 'Land Area'!$B:$B, 0))</f>
        <v>54158</v>
      </c>
      <c r="K298" s="2">
        <f t="shared" si="18"/>
        <v>107.69701613796668</v>
      </c>
    </row>
    <row r="299" spans="1:11" x14ac:dyDescent="0.25">
      <c r="A299" t="s">
        <v>55</v>
      </c>
      <c r="B299">
        <v>55</v>
      </c>
      <c r="C299">
        <v>2021</v>
      </c>
      <c r="D299">
        <v>12</v>
      </c>
      <c r="E299">
        <v>5895908</v>
      </c>
      <c r="F299">
        <v>0.2</v>
      </c>
      <c r="G299" t="s">
        <v>5</v>
      </c>
      <c r="H299">
        <v>61781</v>
      </c>
      <c r="I299" s="2">
        <f>(D299/H299)*100000</f>
        <v>19.423447338178406</v>
      </c>
      <c r="J299">
        <f>INDEX('Land Area'!$C:$C,
       MATCH($B299, 'Land Area'!$B:$B, 0))</f>
        <v>54158</v>
      </c>
      <c r="K299" s="2">
        <f t="shared" si="18"/>
        <v>108.86495069980428</v>
      </c>
    </row>
    <row r="300" spans="1:11" x14ac:dyDescent="0.25">
      <c r="A300" t="s">
        <v>55</v>
      </c>
      <c r="B300">
        <v>55</v>
      </c>
      <c r="C300">
        <v>2022</v>
      </c>
      <c r="D300">
        <v>12</v>
      </c>
      <c r="E300">
        <v>5892539</v>
      </c>
      <c r="F300">
        <v>0.2</v>
      </c>
      <c r="G300" t="s">
        <v>5</v>
      </c>
      <c r="H300">
        <v>60049</v>
      </c>
      <c r="I300" s="2">
        <f>(D300/H300)*100000</f>
        <v>19.983679994671018</v>
      </c>
      <c r="J300">
        <f>INDEX('Land Area'!$C:$C,
       MATCH($B300, 'Land Area'!$B:$B, 0))</f>
        <v>54158</v>
      </c>
      <c r="K300" s="2">
        <f t="shared" si="18"/>
        <v>108.80274382362717</v>
      </c>
    </row>
    <row r="301" spans="1:11" x14ac:dyDescent="0.25">
      <c r="A301" t="s">
        <v>55</v>
      </c>
      <c r="B301">
        <v>55</v>
      </c>
      <c r="C301">
        <v>2023</v>
      </c>
      <c r="D301">
        <v>11</v>
      </c>
      <c r="E301">
        <v>5910955</v>
      </c>
      <c r="F301">
        <v>0.2</v>
      </c>
      <c r="G301" t="s">
        <v>5</v>
      </c>
      <c r="H301">
        <v>59754</v>
      </c>
      <c r="I301" s="2">
        <f>(D301/H301)*100000</f>
        <v>18.408809452086889</v>
      </c>
      <c r="J301">
        <f>INDEX('Land Area'!$C:$C,
       MATCH($B301, 'Land Area'!$B:$B, 0))</f>
        <v>54158</v>
      </c>
      <c r="K301" s="2">
        <f t="shared" si="18"/>
        <v>109.14278592267071</v>
      </c>
    </row>
    <row r="302" spans="1:11" x14ac:dyDescent="0.25">
      <c r="A302" t="s">
        <v>56</v>
      </c>
      <c r="B302">
        <v>56</v>
      </c>
      <c r="C302">
        <v>2018</v>
      </c>
      <c r="E302">
        <v>577737</v>
      </c>
      <c r="H302">
        <v>6562</v>
      </c>
      <c r="I302" s="2"/>
      <c r="J302">
        <f>INDEX('Land Area'!$C:$C,
       MATCH($B302, 'Land Area'!$B:$B, 0))</f>
        <v>97093</v>
      </c>
      <c r="K302" s="2">
        <f t="shared" si="18"/>
        <v>5.9503465749333113</v>
      </c>
    </row>
    <row r="303" spans="1:11" x14ac:dyDescent="0.25">
      <c r="A303" t="s">
        <v>56</v>
      </c>
      <c r="B303">
        <v>56</v>
      </c>
      <c r="C303">
        <v>2019</v>
      </c>
      <c r="E303">
        <v>578759</v>
      </c>
      <c r="H303">
        <v>6565</v>
      </c>
      <c r="I303" s="2"/>
      <c r="J303">
        <f>INDEX('Land Area'!$C:$C,
       MATCH($B303, 'Land Area'!$B:$B, 0))</f>
        <v>97093</v>
      </c>
      <c r="K303" s="2">
        <f t="shared" si="18"/>
        <v>5.9608725654784589</v>
      </c>
    </row>
    <row r="304" spans="1:11" x14ac:dyDescent="0.25">
      <c r="A304" t="s">
        <v>56</v>
      </c>
      <c r="B304">
        <v>56</v>
      </c>
      <c r="C304">
        <v>2020</v>
      </c>
      <c r="E304">
        <v>582328</v>
      </c>
      <c r="H304">
        <v>6128</v>
      </c>
      <c r="I304" s="2"/>
      <c r="J304">
        <f>INDEX('Land Area'!$C:$C,
       MATCH($B304, 'Land Area'!$B:$B, 0))</f>
        <v>97093</v>
      </c>
      <c r="K304" s="2">
        <f t="shared" si="18"/>
        <v>5.9976311371571587</v>
      </c>
    </row>
    <row r="305" spans="1:11" x14ac:dyDescent="0.25">
      <c r="A305" t="s">
        <v>56</v>
      </c>
      <c r="B305">
        <v>56</v>
      </c>
      <c r="C305">
        <v>2021</v>
      </c>
      <c r="E305">
        <v>578803</v>
      </c>
      <c r="H305">
        <v>6237</v>
      </c>
      <c r="I305" s="2"/>
      <c r="J305">
        <f>INDEX('Land Area'!$C:$C,
       MATCH($B305, 'Land Area'!$B:$B, 0))</f>
        <v>97093</v>
      </c>
      <c r="K305" s="2">
        <f t="shared" si="18"/>
        <v>5.9613257392396983</v>
      </c>
    </row>
    <row r="306" spans="1:11" x14ac:dyDescent="0.25">
      <c r="A306" t="s">
        <v>56</v>
      </c>
      <c r="B306">
        <v>56</v>
      </c>
      <c r="C306">
        <v>2022</v>
      </c>
      <c r="E306">
        <v>581381</v>
      </c>
      <c r="H306">
        <v>6049</v>
      </c>
      <c r="I306" s="2"/>
      <c r="J306">
        <f>INDEX('Land Area'!$C:$C,
       MATCH($B306, 'Land Area'!$B:$B, 0))</f>
        <v>97093</v>
      </c>
      <c r="K306" s="2">
        <f t="shared" si="18"/>
        <v>5.9878776018868507</v>
      </c>
    </row>
    <row r="307" spans="1:11" x14ac:dyDescent="0.25">
      <c r="A307" t="s">
        <v>56</v>
      </c>
      <c r="B307">
        <v>56</v>
      </c>
      <c r="C307">
        <v>2023</v>
      </c>
      <c r="E307">
        <v>584057</v>
      </c>
      <c r="H307">
        <v>5990</v>
      </c>
      <c r="I307" s="2"/>
      <c r="J307">
        <f>INDEX('Land Area'!$C:$C,
       MATCH($B307, 'Land Area'!$B:$B, 0))</f>
        <v>97093</v>
      </c>
      <c r="K307" s="2">
        <f t="shared" si="18"/>
        <v>6.015438806093127</v>
      </c>
    </row>
  </sheetData>
  <autoFilter ref="A1:M307" xr:uid="{43A1761E-4BE9-42C1-BB7A-4E89D1759419}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27FA-1F9A-4C7D-8746-16A4FE2891C4}">
  <sheetPr filterMode="1"/>
  <dimension ref="A1:G307"/>
  <sheetViews>
    <sheetView workbookViewId="0">
      <selection activeCell="I271" sqref="I2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59</v>
      </c>
      <c r="E1" t="s">
        <v>3</v>
      </c>
      <c r="F1" t="s">
        <v>58</v>
      </c>
      <c r="G1" t="s">
        <v>57</v>
      </c>
    </row>
    <row r="2" spans="1:7" hidden="1" x14ac:dyDescent="0.25">
      <c r="A2" t="s">
        <v>4</v>
      </c>
      <c r="B2">
        <v>1</v>
      </c>
      <c r="C2">
        <v>2018</v>
      </c>
      <c r="D2">
        <v>21</v>
      </c>
      <c r="E2">
        <v>4887871</v>
      </c>
      <c r="F2">
        <v>0.4</v>
      </c>
    </row>
    <row r="3" spans="1:7" hidden="1" x14ac:dyDescent="0.25">
      <c r="A3" t="s">
        <v>4</v>
      </c>
      <c r="B3">
        <v>1</v>
      </c>
      <c r="C3">
        <v>2019</v>
      </c>
      <c r="D3">
        <v>21</v>
      </c>
      <c r="E3">
        <v>4903185</v>
      </c>
      <c r="F3">
        <v>0.4</v>
      </c>
    </row>
    <row r="4" spans="1:7" hidden="1" x14ac:dyDescent="0.25">
      <c r="A4" t="s">
        <v>4</v>
      </c>
      <c r="B4">
        <v>1</v>
      </c>
      <c r="C4">
        <v>2020</v>
      </c>
      <c r="D4">
        <v>21</v>
      </c>
      <c r="E4">
        <v>4921532</v>
      </c>
      <c r="F4">
        <v>0.4</v>
      </c>
    </row>
    <row r="5" spans="1:7" hidden="1" x14ac:dyDescent="0.25">
      <c r="A5" t="s">
        <v>4</v>
      </c>
      <c r="B5">
        <v>1</v>
      </c>
      <c r="C5">
        <v>2021</v>
      </c>
      <c r="D5">
        <v>33</v>
      </c>
      <c r="E5">
        <v>5039877</v>
      </c>
      <c r="F5">
        <v>0.7</v>
      </c>
    </row>
    <row r="6" spans="1:7" hidden="1" x14ac:dyDescent="0.25">
      <c r="A6" t="s">
        <v>4</v>
      </c>
      <c r="B6">
        <v>1</v>
      </c>
      <c r="C6">
        <v>2022</v>
      </c>
      <c r="D6">
        <v>16</v>
      </c>
      <c r="E6">
        <v>5074296</v>
      </c>
      <c r="F6">
        <v>0.3</v>
      </c>
      <c r="G6" t="s">
        <v>5</v>
      </c>
    </row>
    <row r="7" spans="1:7" x14ac:dyDescent="0.25">
      <c r="A7" t="s">
        <v>4</v>
      </c>
      <c r="B7">
        <v>1</v>
      </c>
      <c r="C7">
        <v>2023</v>
      </c>
      <c r="D7">
        <v>11</v>
      </c>
      <c r="E7">
        <v>5108468</v>
      </c>
      <c r="F7">
        <v>0.2</v>
      </c>
      <c r="G7" t="s">
        <v>5</v>
      </c>
    </row>
    <row r="8" spans="1:7" hidden="1" x14ac:dyDescent="0.25">
      <c r="A8" t="s">
        <v>6</v>
      </c>
      <c r="B8">
        <v>2</v>
      </c>
      <c r="C8">
        <v>2018</v>
      </c>
      <c r="D8" t="s">
        <v>7</v>
      </c>
      <c r="E8">
        <v>737438</v>
      </c>
      <c r="F8" t="s">
        <v>7</v>
      </c>
    </row>
    <row r="9" spans="1:7" hidden="1" x14ac:dyDescent="0.25">
      <c r="A9" t="s">
        <v>6</v>
      </c>
      <c r="B9">
        <v>2</v>
      </c>
      <c r="C9">
        <v>2019</v>
      </c>
      <c r="D9" t="s">
        <v>7</v>
      </c>
      <c r="E9">
        <v>731545</v>
      </c>
      <c r="F9" t="s">
        <v>7</v>
      </c>
    </row>
    <row r="10" spans="1:7" hidden="1" x14ac:dyDescent="0.25">
      <c r="A10" t="s">
        <v>6</v>
      </c>
      <c r="B10">
        <v>2</v>
      </c>
      <c r="C10">
        <v>2020</v>
      </c>
      <c r="D10">
        <v>0</v>
      </c>
      <c r="E10">
        <v>731158</v>
      </c>
      <c r="F10">
        <v>0</v>
      </c>
      <c r="G10" t="s">
        <v>5</v>
      </c>
    </row>
    <row r="11" spans="1:7" hidden="1" x14ac:dyDescent="0.25">
      <c r="A11" t="s">
        <v>6</v>
      </c>
      <c r="B11">
        <v>2</v>
      </c>
      <c r="C11">
        <v>2021</v>
      </c>
      <c r="D11" t="s">
        <v>7</v>
      </c>
      <c r="E11">
        <v>732673</v>
      </c>
      <c r="F11" t="s">
        <v>7</v>
      </c>
    </row>
    <row r="12" spans="1:7" hidden="1" x14ac:dyDescent="0.25">
      <c r="A12" t="s">
        <v>6</v>
      </c>
      <c r="B12">
        <v>2</v>
      </c>
      <c r="C12">
        <v>2022</v>
      </c>
      <c r="D12" t="s">
        <v>7</v>
      </c>
      <c r="E12">
        <v>733583</v>
      </c>
      <c r="F12" t="s">
        <v>7</v>
      </c>
    </row>
    <row r="13" spans="1:7" x14ac:dyDescent="0.25">
      <c r="A13" t="s">
        <v>6</v>
      </c>
      <c r="B13">
        <v>2</v>
      </c>
      <c r="C13">
        <v>2023</v>
      </c>
      <c r="D13" t="s">
        <v>7</v>
      </c>
      <c r="E13">
        <v>733406</v>
      </c>
      <c r="F13" t="s">
        <v>7</v>
      </c>
    </row>
    <row r="14" spans="1:7" hidden="1" x14ac:dyDescent="0.25">
      <c r="A14" t="s">
        <v>8</v>
      </c>
      <c r="B14">
        <v>4</v>
      </c>
      <c r="C14">
        <v>2018</v>
      </c>
      <c r="D14">
        <v>18</v>
      </c>
      <c r="E14">
        <v>7171646</v>
      </c>
      <c r="F14">
        <v>0.3</v>
      </c>
      <c r="G14" t="s">
        <v>5</v>
      </c>
    </row>
    <row r="15" spans="1:7" hidden="1" x14ac:dyDescent="0.25">
      <c r="A15" t="s">
        <v>8</v>
      </c>
      <c r="B15">
        <v>4</v>
      </c>
      <c r="C15">
        <v>2019</v>
      </c>
      <c r="D15">
        <v>20</v>
      </c>
      <c r="E15">
        <v>7278717</v>
      </c>
      <c r="F15">
        <v>0.3</v>
      </c>
    </row>
    <row r="16" spans="1:7" hidden="1" x14ac:dyDescent="0.25">
      <c r="A16" t="s">
        <v>8</v>
      </c>
      <c r="B16">
        <v>4</v>
      </c>
      <c r="C16">
        <v>2020</v>
      </c>
      <c r="D16">
        <v>29</v>
      </c>
      <c r="E16">
        <v>7421401</v>
      </c>
      <c r="F16">
        <v>0.4</v>
      </c>
    </row>
    <row r="17" spans="1:7" hidden="1" x14ac:dyDescent="0.25">
      <c r="A17" t="s">
        <v>8</v>
      </c>
      <c r="B17">
        <v>4</v>
      </c>
      <c r="C17">
        <v>2021</v>
      </c>
      <c r="D17">
        <v>32</v>
      </c>
      <c r="E17">
        <v>7276316</v>
      </c>
      <c r="F17">
        <v>0.4</v>
      </c>
    </row>
    <row r="18" spans="1:7" hidden="1" x14ac:dyDescent="0.25">
      <c r="A18" t="s">
        <v>8</v>
      </c>
      <c r="B18">
        <v>4</v>
      </c>
      <c r="C18">
        <v>2022</v>
      </c>
      <c r="D18">
        <v>19</v>
      </c>
      <c r="E18">
        <v>7359197</v>
      </c>
      <c r="F18">
        <v>0.3</v>
      </c>
      <c r="G18" t="s">
        <v>5</v>
      </c>
    </row>
    <row r="19" spans="1:7" x14ac:dyDescent="0.25">
      <c r="A19" t="s">
        <v>8</v>
      </c>
      <c r="B19">
        <v>4</v>
      </c>
      <c r="C19">
        <v>2023</v>
      </c>
      <c r="D19">
        <v>19</v>
      </c>
      <c r="E19">
        <v>7431344</v>
      </c>
      <c r="F19">
        <v>0.3</v>
      </c>
      <c r="G19" t="s">
        <v>5</v>
      </c>
    </row>
    <row r="20" spans="1:7" hidden="1" x14ac:dyDescent="0.25">
      <c r="A20" t="s">
        <v>9</v>
      </c>
      <c r="B20">
        <v>5</v>
      </c>
      <c r="C20">
        <v>2018</v>
      </c>
      <c r="D20">
        <v>17</v>
      </c>
      <c r="E20">
        <v>3013825</v>
      </c>
      <c r="F20">
        <v>0.6</v>
      </c>
      <c r="G20" t="s">
        <v>5</v>
      </c>
    </row>
    <row r="21" spans="1:7" hidden="1" x14ac:dyDescent="0.25">
      <c r="A21" t="s">
        <v>9</v>
      </c>
      <c r="B21">
        <v>5</v>
      </c>
      <c r="C21">
        <v>2019</v>
      </c>
      <c r="D21">
        <v>12</v>
      </c>
      <c r="E21">
        <v>3017804</v>
      </c>
      <c r="F21">
        <v>0.4</v>
      </c>
      <c r="G21" t="s">
        <v>5</v>
      </c>
    </row>
    <row r="22" spans="1:7" hidden="1" x14ac:dyDescent="0.25">
      <c r="A22" t="s">
        <v>9</v>
      </c>
      <c r="B22">
        <v>5</v>
      </c>
      <c r="C22">
        <v>2020</v>
      </c>
      <c r="D22">
        <v>15</v>
      </c>
      <c r="E22">
        <v>3030522</v>
      </c>
      <c r="F22">
        <v>0.5</v>
      </c>
      <c r="G22" t="s">
        <v>5</v>
      </c>
    </row>
    <row r="23" spans="1:7" hidden="1" x14ac:dyDescent="0.25">
      <c r="A23" t="s">
        <v>9</v>
      </c>
      <c r="B23">
        <v>5</v>
      </c>
      <c r="C23">
        <v>2021</v>
      </c>
      <c r="D23">
        <v>19</v>
      </c>
      <c r="E23">
        <v>3025891</v>
      </c>
      <c r="F23">
        <v>0.6</v>
      </c>
      <c r="G23" t="s">
        <v>5</v>
      </c>
    </row>
    <row r="24" spans="1:7" hidden="1" x14ac:dyDescent="0.25">
      <c r="A24" t="s">
        <v>9</v>
      </c>
      <c r="B24">
        <v>5</v>
      </c>
      <c r="C24">
        <v>2022</v>
      </c>
      <c r="D24" t="s">
        <v>7</v>
      </c>
      <c r="E24">
        <v>3045637</v>
      </c>
      <c r="F24" t="s">
        <v>7</v>
      </c>
    </row>
    <row r="25" spans="1:7" x14ac:dyDescent="0.25">
      <c r="A25" t="s">
        <v>9</v>
      </c>
      <c r="B25">
        <v>5</v>
      </c>
      <c r="C25">
        <v>2023</v>
      </c>
      <c r="D25">
        <v>11</v>
      </c>
      <c r="E25">
        <v>3067732</v>
      </c>
      <c r="F25">
        <v>0.4</v>
      </c>
      <c r="G25" t="s">
        <v>5</v>
      </c>
    </row>
    <row r="26" spans="1:7" hidden="1" x14ac:dyDescent="0.25">
      <c r="A26" t="s">
        <v>10</v>
      </c>
      <c r="B26">
        <v>6</v>
      </c>
      <c r="C26">
        <v>2018</v>
      </c>
      <c r="D26">
        <v>53</v>
      </c>
      <c r="E26">
        <v>39557045</v>
      </c>
      <c r="F26">
        <v>0.1</v>
      </c>
    </row>
    <row r="27" spans="1:7" hidden="1" x14ac:dyDescent="0.25">
      <c r="A27" t="s">
        <v>10</v>
      </c>
      <c r="B27">
        <v>6</v>
      </c>
      <c r="C27">
        <v>2019</v>
      </c>
      <c r="D27">
        <v>50</v>
      </c>
      <c r="E27">
        <v>39512223</v>
      </c>
      <c r="F27">
        <v>0.1</v>
      </c>
    </row>
    <row r="28" spans="1:7" hidden="1" x14ac:dyDescent="0.25">
      <c r="A28" t="s">
        <v>10</v>
      </c>
      <c r="B28">
        <v>6</v>
      </c>
      <c r="C28">
        <v>2020</v>
      </c>
      <c r="D28">
        <v>32</v>
      </c>
      <c r="E28">
        <v>39368078</v>
      </c>
      <c r="F28">
        <v>0.1</v>
      </c>
    </row>
    <row r="29" spans="1:7" hidden="1" x14ac:dyDescent="0.25">
      <c r="A29" t="s">
        <v>10</v>
      </c>
      <c r="B29">
        <v>6</v>
      </c>
      <c r="C29">
        <v>2021</v>
      </c>
      <c r="D29">
        <v>41</v>
      </c>
      <c r="E29">
        <v>39237836</v>
      </c>
      <c r="F29">
        <v>0.1</v>
      </c>
    </row>
    <row r="30" spans="1:7" hidden="1" x14ac:dyDescent="0.25">
      <c r="A30" t="s">
        <v>10</v>
      </c>
      <c r="B30">
        <v>6</v>
      </c>
      <c r="C30">
        <v>2022</v>
      </c>
      <c r="D30">
        <v>52</v>
      </c>
      <c r="E30">
        <v>39029342</v>
      </c>
      <c r="F30">
        <v>0.1</v>
      </c>
    </row>
    <row r="31" spans="1:7" x14ac:dyDescent="0.25">
      <c r="A31" t="s">
        <v>10</v>
      </c>
      <c r="B31">
        <v>6</v>
      </c>
      <c r="C31">
        <v>2023</v>
      </c>
      <c r="D31">
        <v>38</v>
      </c>
      <c r="E31">
        <v>38965193</v>
      </c>
      <c r="F31">
        <v>0.1</v>
      </c>
    </row>
    <row r="32" spans="1:7" hidden="1" x14ac:dyDescent="0.25">
      <c r="A32" t="s">
        <v>11</v>
      </c>
      <c r="B32">
        <v>8</v>
      </c>
      <c r="C32">
        <v>2018</v>
      </c>
      <c r="D32" t="s">
        <v>7</v>
      </c>
      <c r="E32">
        <v>5695564</v>
      </c>
      <c r="F32" t="s">
        <v>7</v>
      </c>
    </row>
    <row r="33" spans="1:7" hidden="1" x14ac:dyDescent="0.25">
      <c r="A33" t="s">
        <v>11</v>
      </c>
      <c r="B33">
        <v>8</v>
      </c>
      <c r="C33">
        <v>2019</v>
      </c>
      <c r="D33">
        <v>12</v>
      </c>
      <c r="E33">
        <v>5758736</v>
      </c>
      <c r="F33">
        <v>0.2</v>
      </c>
      <c r="G33" t="s">
        <v>5</v>
      </c>
    </row>
    <row r="34" spans="1:7" hidden="1" x14ac:dyDescent="0.25">
      <c r="A34" t="s">
        <v>11</v>
      </c>
      <c r="B34">
        <v>8</v>
      </c>
      <c r="C34">
        <v>2020</v>
      </c>
      <c r="D34">
        <v>10</v>
      </c>
      <c r="E34">
        <v>5807719</v>
      </c>
      <c r="F34">
        <v>0.2</v>
      </c>
      <c r="G34" t="s">
        <v>5</v>
      </c>
    </row>
    <row r="35" spans="1:7" hidden="1" x14ac:dyDescent="0.25">
      <c r="A35" t="s">
        <v>11</v>
      </c>
      <c r="B35">
        <v>8</v>
      </c>
      <c r="C35">
        <v>2021</v>
      </c>
      <c r="D35">
        <v>11</v>
      </c>
      <c r="E35">
        <v>5812069</v>
      </c>
      <c r="F35">
        <v>0.2</v>
      </c>
      <c r="G35" t="s">
        <v>5</v>
      </c>
    </row>
    <row r="36" spans="1:7" hidden="1" x14ac:dyDescent="0.25">
      <c r="A36" t="s">
        <v>11</v>
      </c>
      <c r="B36">
        <v>8</v>
      </c>
      <c r="C36">
        <v>2022</v>
      </c>
      <c r="D36">
        <v>12</v>
      </c>
      <c r="E36">
        <v>5839926</v>
      </c>
      <c r="F36">
        <v>0.2</v>
      </c>
      <c r="G36" t="s">
        <v>5</v>
      </c>
    </row>
    <row r="37" spans="1:7" x14ac:dyDescent="0.25">
      <c r="A37" t="s">
        <v>11</v>
      </c>
      <c r="B37">
        <v>8</v>
      </c>
      <c r="C37">
        <v>2023</v>
      </c>
      <c r="D37" t="s">
        <v>7</v>
      </c>
      <c r="E37">
        <v>5877610</v>
      </c>
      <c r="F37" t="s">
        <v>7</v>
      </c>
    </row>
    <row r="38" spans="1:7" hidden="1" x14ac:dyDescent="0.25">
      <c r="A38" t="s">
        <v>12</v>
      </c>
      <c r="B38">
        <v>9</v>
      </c>
      <c r="C38">
        <v>2018</v>
      </c>
      <c r="D38" t="s">
        <v>7</v>
      </c>
      <c r="E38">
        <v>3572665</v>
      </c>
      <c r="F38" t="s">
        <v>7</v>
      </c>
    </row>
    <row r="39" spans="1:7" hidden="1" x14ac:dyDescent="0.25">
      <c r="A39" t="s">
        <v>12</v>
      </c>
      <c r="B39">
        <v>9</v>
      </c>
      <c r="C39">
        <v>2019</v>
      </c>
      <c r="D39" t="s">
        <v>7</v>
      </c>
      <c r="E39">
        <v>3565287</v>
      </c>
      <c r="F39" t="s">
        <v>7</v>
      </c>
    </row>
    <row r="40" spans="1:7" hidden="1" x14ac:dyDescent="0.25">
      <c r="A40" t="s">
        <v>12</v>
      </c>
      <c r="B40">
        <v>9</v>
      </c>
      <c r="C40">
        <v>2020</v>
      </c>
      <c r="D40" t="s">
        <v>7</v>
      </c>
      <c r="E40">
        <v>3557006</v>
      </c>
      <c r="F40" t="s">
        <v>7</v>
      </c>
    </row>
    <row r="41" spans="1:7" hidden="1" x14ac:dyDescent="0.25">
      <c r="A41" t="s">
        <v>12</v>
      </c>
      <c r="B41">
        <v>9</v>
      </c>
      <c r="C41">
        <v>2021</v>
      </c>
      <c r="D41" t="s">
        <v>7</v>
      </c>
      <c r="E41">
        <v>3605597</v>
      </c>
      <c r="F41" t="s">
        <v>7</v>
      </c>
    </row>
    <row r="42" spans="1:7" hidden="1" x14ac:dyDescent="0.25">
      <c r="A42" t="s">
        <v>12</v>
      </c>
      <c r="B42">
        <v>9</v>
      </c>
      <c r="C42">
        <v>2022</v>
      </c>
      <c r="D42" t="s">
        <v>7</v>
      </c>
      <c r="E42">
        <v>3626205</v>
      </c>
      <c r="F42" t="s">
        <v>7</v>
      </c>
    </row>
    <row r="43" spans="1:7" x14ac:dyDescent="0.25">
      <c r="A43" t="s">
        <v>12</v>
      </c>
      <c r="B43">
        <v>9</v>
      </c>
      <c r="C43">
        <v>2023</v>
      </c>
      <c r="D43" t="s">
        <v>7</v>
      </c>
      <c r="E43">
        <v>3617176</v>
      </c>
      <c r="F43" t="s">
        <v>7</v>
      </c>
    </row>
    <row r="44" spans="1:7" hidden="1" x14ac:dyDescent="0.25">
      <c r="A44" t="s">
        <v>13</v>
      </c>
      <c r="B44">
        <v>10</v>
      </c>
      <c r="C44">
        <v>2018</v>
      </c>
      <c r="D44" t="s">
        <v>7</v>
      </c>
      <c r="E44">
        <v>967171</v>
      </c>
      <c r="F44" t="s">
        <v>7</v>
      </c>
    </row>
    <row r="45" spans="1:7" hidden="1" x14ac:dyDescent="0.25">
      <c r="A45" t="s">
        <v>13</v>
      </c>
      <c r="B45">
        <v>10</v>
      </c>
      <c r="C45">
        <v>2019</v>
      </c>
      <c r="D45">
        <v>0</v>
      </c>
      <c r="E45">
        <v>973764</v>
      </c>
      <c r="F45">
        <v>0</v>
      </c>
      <c r="G45" t="s">
        <v>5</v>
      </c>
    </row>
    <row r="46" spans="1:7" hidden="1" x14ac:dyDescent="0.25">
      <c r="A46" t="s">
        <v>13</v>
      </c>
      <c r="B46">
        <v>10</v>
      </c>
      <c r="C46">
        <v>2020</v>
      </c>
      <c r="D46" t="s">
        <v>7</v>
      </c>
      <c r="E46">
        <v>986809</v>
      </c>
      <c r="F46" t="s">
        <v>7</v>
      </c>
    </row>
    <row r="47" spans="1:7" hidden="1" x14ac:dyDescent="0.25">
      <c r="A47" t="s">
        <v>13</v>
      </c>
      <c r="B47">
        <v>10</v>
      </c>
      <c r="C47">
        <v>2021</v>
      </c>
      <c r="D47" t="s">
        <v>7</v>
      </c>
      <c r="E47">
        <v>1003384</v>
      </c>
      <c r="F47" t="s">
        <v>7</v>
      </c>
    </row>
    <row r="48" spans="1:7" hidden="1" x14ac:dyDescent="0.25">
      <c r="A48" t="s">
        <v>13</v>
      </c>
      <c r="B48">
        <v>10</v>
      </c>
      <c r="C48">
        <v>2022</v>
      </c>
      <c r="D48" t="s">
        <v>7</v>
      </c>
      <c r="E48">
        <v>1018396</v>
      </c>
      <c r="F48" t="s">
        <v>7</v>
      </c>
    </row>
    <row r="49" spans="1:7" x14ac:dyDescent="0.25">
      <c r="A49" t="s">
        <v>13</v>
      </c>
      <c r="B49">
        <v>10</v>
      </c>
      <c r="C49">
        <v>2023</v>
      </c>
      <c r="D49">
        <v>0</v>
      </c>
      <c r="E49">
        <v>1031890</v>
      </c>
      <c r="F49">
        <v>0</v>
      </c>
      <c r="G49" t="s">
        <v>5</v>
      </c>
    </row>
    <row r="50" spans="1:7" hidden="1" x14ac:dyDescent="0.25">
      <c r="A50" t="s">
        <v>14</v>
      </c>
      <c r="B50">
        <v>11</v>
      </c>
      <c r="C50">
        <v>2018</v>
      </c>
      <c r="D50" t="s">
        <v>7</v>
      </c>
      <c r="E50">
        <v>702455</v>
      </c>
      <c r="F50" t="s">
        <v>7</v>
      </c>
    </row>
    <row r="51" spans="1:7" hidden="1" x14ac:dyDescent="0.25">
      <c r="A51" t="s">
        <v>14</v>
      </c>
      <c r="B51">
        <v>11</v>
      </c>
      <c r="C51">
        <v>2019</v>
      </c>
      <c r="D51" t="s">
        <v>7</v>
      </c>
      <c r="E51">
        <v>705749</v>
      </c>
      <c r="F51" t="s">
        <v>7</v>
      </c>
    </row>
    <row r="52" spans="1:7" hidden="1" x14ac:dyDescent="0.25">
      <c r="A52" t="s">
        <v>14</v>
      </c>
      <c r="B52">
        <v>11</v>
      </c>
      <c r="C52">
        <v>2020</v>
      </c>
      <c r="D52" t="s">
        <v>7</v>
      </c>
      <c r="E52">
        <v>712816</v>
      </c>
      <c r="F52" t="s">
        <v>7</v>
      </c>
    </row>
    <row r="53" spans="1:7" hidden="1" x14ac:dyDescent="0.25">
      <c r="A53" t="s">
        <v>14</v>
      </c>
      <c r="B53">
        <v>11</v>
      </c>
      <c r="C53">
        <v>2021</v>
      </c>
      <c r="D53" t="s">
        <v>7</v>
      </c>
      <c r="E53">
        <v>670050</v>
      </c>
      <c r="F53" t="s">
        <v>7</v>
      </c>
    </row>
    <row r="54" spans="1:7" hidden="1" x14ac:dyDescent="0.25">
      <c r="A54" t="s">
        <v>14</v>
      </c>
      <c r="B54">
        <v>11</v>
      </c>
      <c r="C54">
        <v>2022</v>
      </c>
      <c r="D54" t="s">
        <v>7</v>
      </c>
      <c r="E54">
        <v>671803</v>
      </c>
      <c r="F54" t="s">
        <v>7</v>
      </c>
    </row>
    <row r="55" spans="1:7" x14ac:dyDescent="0.25">
      <c r="A55" t="s">
        <v>14</v>
      </c>
      <c r="B55">
        <v>11</v>
      </c>
      <c r="C55">
        <v>2023</v>
      </c>
      <c r="D55" t="s">
        <v>7</v>
      </c>
      <c r="E55">
        <v>678972</v>
      </c>
      <c r="F55" t="s">
        <v>7</v>
      </c>
    </row>
    <row r="56" spans="1:7" hidden="1" x14ac:dyDescent="0.25">
      <c r="A56" t="s">
        <v>15</v>
      </c>
      <c r="B56">
        <v>12</v>
      </c>
      <c r="C56">
        <v>2018</v>
      </c>
      <c r="D56">
        <v>35</v>
      </c>
      <c r="E56">
        <v>21299325</v>
      </c>
      <c r="F56">
        <v>0.2</v>
      </c>
    </row>
    <row r="57" spans="1:7" hidden="1" x14ac:dyDescent="0.25">
      <c r="A57" t="s">
        <v>15</v>
      </c>
      <c r="B57">
        <v>12</v>
      </c>
      <c r="C57">
        <v>2019</v>
      </c>
      <c r="D57">
        <v>59</v>
      </c>
      <c r="E57">
        <v>21477737</v>
      </c>
      <c r="F57">
        <v>0.3</v>
      </c>
    </row>
    <row r="58" spans="1:7" hidden="1" x14ac:dyDescent="0.25">
      <c r="A58" t="s">
        <v>15</v>
      </c>
      <c r="B58">
        <v>12</v>
      </c>
      <c r="C58">
        <v>2020</v>
      </c>
      <c r="D58">
        <v>47</v>
      </c>
      <c r="E58">
        <v>21733312</v>
      </c>
      <c r="F58">
        <v>0.2</v>
      </c>
    </row>
    <row r="59" spans="1:7" hidden="1" x14ac:dyDescent="0.25">
      <c r="A59" t="s">
        <v>15</v>
      </c>
      <c r="B59">
        <v>12</v>
      </c>
      <c r="C59">
        <v>2021</v>
      </c>
      <c r="D59">
        <v>87</v>
      </c>
      <c r="E59">
        <v>21781128</v>
      </c>
      <c r="F59">
        <v>0.4</v>
      </c>
    </row>
    <row r="60" spans="1:7" hidden="1" x14ac:dyDescent="0.25">
      <c r="A60" t="s">
        <v>15</v>
      </c>
      <c r="B60">
        <v>12</v>
      </c>
      <c r="C60">
        <v>2022</v>
      </c>
      <c r="D60">
        <v>35</v>
      </c>
      <c r="E60">
        <v>22244823</v>
      </c>
      <c r="F60">
        <v>0.2</v>
      </c>
    </row>
    <row r="61" spans="1:7" x14ac:dyDescent="0.25">
      <c r="A61" t="s">
        <v>15</v>
      </c>
      <c r="B61">
        <v>12</v>
      </c>
      <c r="C61">
        <v>2023</v>
      </c>
      <c r="D61">
        <v>40</v>
      </c>
      <c r="E61">
        <v>22610726</v>
      </c>
      <c r="F61">
        <v>0.2</v>
      </c>
    </row>
    <row r="62" spans="1:7" hidden="1" x14ac:dyDescent="0.25">
      <c r="A62" t="s">
        <v>16</v>
      </c>
      <c r="B62">
        <v>13</v>
      </c>
      <c r="C62">
        <v>2018</v>
      </c>
      <c r="D62">
        <v>35</v>
      </c>
      <c r="E62">
        <v>10519475</v>
      </c>
      <c r="F62">
        <v>0.3</v>
      </c>
    </row>
    <row r="63" spans="1:7" hidden="1" x14ac:dyDescent="0.25">
      <c r="A63" t="s">
        <v>16</v>
      </c>
      <c r="B63">
        <v>13</v>
      </c>
      <c r="C63">
        <v>2019</v>
      </c>
      <c r="D63">
        <v>43</v>
      </c>
      <c r="E63">
        <v>10617423</v>
      </c>
      <c r="F63">
        <v>0.4</v>
      </c>
    </row>
    <row r="64" spans="1:7" hidden="1" x14ac:dyDescent="0.25">
      <c r="A64" t="s">
        <v>16</v>
      </c>
      <c r="B64">
        <v>13</v>
      </c>
      <c r="C64">
        <v>2020</v>
      </c>
      <c r="D64">
        <v>30</v>
      </c>
      <c r="E64">
        <v>10710017</v>
      </c>
      <c r="F64">
        <v>0.3</v>
      </c>
    </row>
    <row r="65" spans="1:7" hidden="1" x14ac:dyDescent="0.25">
      <c r="A65" t="s">
        <v>16</v>
      </c>
      <c r="B65">
        <v>13</v>
      </c>
      <c r="C65">
        <v>2021</v>
      </c>
      <c r="D65">
        <v>61</v>
      </c>
      <c r="E65">
        <v>10799566</v>
      </c>
      <c r="F65">
        <v>0.6</v>
      </c>
    </row>
    <row r="66" spans="1:7" hidden="1" x14ac:dyDescent="0.25">
      <c r="A66" t="s">
        <v>16</v>
      </c>
      <c r="B66">
        <v>13</v>
      </c>
      <c r="C66">
        <v>2022</v>
      </c>
      <c r="D66">
        <v>32</v>
      </c>
      <c r="E66">
        <v>10912876</v>
      </c>
      <c r="F66">
        <v>0.3</v>
      </c>
    </row>
    <row r="67" spans="1:7" x14ac:dyDescent="0.25">
      <c r="A67" t="s">
        <v>16</v>
      </c>
      <c r="B67">
        <v>13</v>
      </c>
      <c r="C67">
        <v>2023</v>
      </c>
      <c r="D67">
        <v>24</v>
      </c>
      <c r="E67">
        <v>11029227</v>
      </c>
      <c r="F67">
        <v>0.2</v>
      </c>
    </row>
    <row r="68" spans="1:7" hidden="1" x14ac:dyDescent="0.25">
      <c r="A68" t="s">
        <v>17</v>
      </c>
      <c r="B68">
        <v>15</v>
      </c>
      <c r="C68">
        <v>2018</v>
      </c>
      <c r="D68" t="s">
        <v>7</v>
      </c>
      <c r="E68">
        <v>1420491</v>
      </c>
      <c r="F68" t="s">
        <v>7</v>
      </c>
    </row>
    <row r="69" spans="1:7" hidden="1" x14ac:dyDescent="0.25">
      <c r="A69" t="s">
        <v>17</v>
      </c>
      <c r="B69">
        <v>15</v>
      </c>
      <c r="C69">
        <v>2019</v>
      </c>
      <c r="D69" t="s">
        <v>7</v>
      </c>
      <c r="E69">
        <v>1415872</v>
      </c>
      <c r="F69" t="s">
        <v>7</v>
      </c>
    </row>
    <row r="70" spans="1:7" hidden="1" x14ac:dyDescent="0.25">
      <c r="A70" t="s">
        <v>17</v>
      </c>
      <c r="B70">
        <v>15</v>
      </c>
      <c r="C70">
        <v>2020</v>
      </c>
      <c r="D70" t="s">
        <v>7</v>
      </c>
      <c r="E70">
        <v>1407006</v>
      </c>
      <c r="F70" t="s">
        <v>7</v>
      </c>
    </row>
    <row r="71" spans="1:7" hidden="1" x14ac:dyDescent="0.25">
      <c r="A71" t="s">
        <v>17</v>
      </c>
      <c r="B71">
        <v>15</v>
      </c>
      <c r="C71">
        <v>2021</v>
      </c>
      <c r="D71" t="s">
        <v>7</v>
      </c>
      <c r="E71">
        <v>1441553</v>
      </c>
      <c r="F71" t="s">
        <v>7</v>
      </c>
    </row>
    <row r="72" spans="1:7" hidden="1" x14ac:dyDescent="0.25">
      <c r="A72" t="s">
        <v>17</v>
      </c>
      <c r="B72">
        <v>15</v>
      </c>
      <c r="C72">
        <v>2022</v>
      </c>
      <c r="D72" t="s">
        <v>7</v>
      </c>
      <c r="E72">
        <v>1440196</v>
      </c>
      <c r="F72" t="s">
        <v>7</v>
      </c>
    </row>
    <row r="73" spans="1:7" x14ac:dyDescent="0.25">
      <c r="A73" t="s">
        <v>17</v>
      </c>
      <c r="B73">
        <v>15</v>
      </c>
      <c r="C73">
        <v>2023</v>
      </c>
      <c r="D73" t="s">
        <v>7</v>
      </c>
      <c r="E73">
        <v>1435138</v>
      </c>
      <c r="F73" t="s">
        <v>7</v>
      </c>
    </row>
    <row r="74" spans="1:7" hidden="1" x14ac:dyDescent="0.25">
      <c r="A74" t="s">
        <v>18</v>
      </c>
      <c r="B74">
        <v>16</v>
      </c>
      <c r="C74">
        <v>2018</v>
      </c>
      <c r="D74" t="s">
        <v>7</v>
      </c>
      <c r="E74">
        <v>1754208</v>
      </c>
      <c r="F74" t="s">
        <v>7</v>
      </c>
    </row>
    <row r="75" spans="1:7" hidden="1" x14ac:dyDescent="0.25">
      <c r="A75" t="s">
        <v>18</v>
      </c>
      <c r="B75">
        <v>16</v>
      </c>
      <c r="C75">
        <v>2019</v>
      </c>
      <c r="D75" t="s">
        <v>7</v>
      </c>
      <c r="E75">
        <v>1787065</v>
      </c>
      <c r="F75" t="s">
        <v>7</v>
      </c>
    </row>
    <row r="76" spans="1:7" hidden="1" x14ac:dyDescent="0.25">
      <c r="A76" t="s">
        <v>18</v>
      </c>
      <c r="B76">
        <v>16</v>
      </c>
      <c r="C76">
        <v>2020</v>
      </c>
      <c r="D76" t="s">
        <v>7</v>
      </c>
      <c r="E76">
        <v>1826913</v>
      </c>
      <c r="F76" t="s">
        <v>7</v>
      </c>
    </row>
    <row r="77" spans="1:7" hidden="1" x14ac:dyDescent="0.25">
      <c r="A77" t="s">
        <v>18</v>
      </c>
      <c r="B77">
        <v>16</v>
      </c>
      <c r="C77">
        <v>2021</v>
      </c>
      <c r="D77" t="s">
        <v>7</v>
      </c>
      <c r="E77">
        <v>1900923</v>
      </c>
      <c r="F77" t="s">
        <v>7</v>
      </c>
    </row>
    <row r="78" spans="1:7" hidden="1" x14ac:dyDescent="0.25">
      <c r="A78" t="s">
        <v>18</v>
      </c>
      <c r="B78">
        <v>16</v>
      </c>
      <c r="C78">
        <v>2022</v>
      </c>
      <c r="D78" t="s">
        <v>7</v>
      </c>
      <c r="E78">
        <v>1939033</v>
      </c>
      <c r="F78" t="s">
        <v>7</v>
      </c>
    </row>
    <row r="79" spans="1:7" x14ac:dyDescent="0.25">
      <c r="A79" t="s">
        <v>18</v>
      </c>
      <c r="B79">
        <v>16</v>
      </c>
      <c r="C79">
        <v>2023</v>
      </c>
      <c r="D79" t="s">
        <v>7</v>
      </c>
      <c r="E79">
        <v>1964726</v>
      </c>
      <c r="F79" t="s">
        <v>7</v>
      </c>
    </row>
    <row r="80" spans="1:7" hidden="1" x14ac:dyDescent="0.25">
      <c r="A80" t="s">
        <v>19</v>
      </c>
      <c r="B80">
        <v>17</v>
      </c>
      <c r="C80">
        <v>2018</v>
      </c>
      <c r="D80">
        <v>14</v>
      </c>
      <c r="E80">
        <v>12741080</v>
      </c>
      <c r="F80">
        <v>0.1</v>
      </c>
      <c r="G80" t="s">
        <v>5</v>
      </c>
    </row>
    <row r="81" spans="1:7" hidden="1" x14ac:dyDescent="0.25">
      <c r="A81" t="s">
        <v>19</v>
      </c>
      <c r="B81">
        <v>17</v>
      </c>
      <c r="C81">
        <v>2019</v>
      </c>
      <c r="D81">
        <v>14</v>
      </c>
      <c r="E81">
        <v>12671821</v>
      </c>
      <c r="F81">
        <v>0.1</v>
      </c>
      <c r="G81" t="s">
        <v>5</v>
      </c>
    </row>
    <row r="82" spans="1:7" hidden="1" x14ac:dyDescent="0.25">
      <c r="A82" t="s">
        <v>19</v>
      </c>
      <c r="B82">
        <v>17</v>
      </c>
      <c r="C82">
        <v>2020</v>
      </c>
      <c r="D82">
        <v>26</v>
      </c>
      <c r="E82">
        <v>12587530</v>
      </c>
      <c r="F82">
        <v>0.2</v>
      </c>
    </row>
    <row r="83" spans="1:7" hidden="1" x14ac:dyDescent="0.25">
      <c r="A83" t="s">
        <v>19</v>
      </c>
      <c r="B83">
        <v>17</v>
      </c>
      <c r="C83">
        <v>2021</v>
      </c>
      <c r="D83">
        <v>41</v>
      </c>
      <c r="E83">
        <v>12671469</v>
      </c>
      <c r="F83">
        <v>0.3</v>
      </c>
    </row>
    <row r="84" spans="1:7" hidden="1" x14ac:dyDescent="0.25">
      <c r="A84" t="s">
        <v>19</v>
      </c>
      <c r="B84">
        <v>17</v>
      </c>
      <c r="C84">
        <v>2022</v>
      </c>
      <c r="D84">
        <v>28</v>
      </c>
      <c r="E84">
        <v>12582032</v>
      </c>
      <c r="F84">
        <v>0.2</v>
      </c>
    </row>
    <row r="85" spans="1:7" x14ac:dyDescent="0.25">
      <c r="A85" t="s">
        <v>19</v>
      </c>
      <c r="B85">
        <v>17</v>
      </c>
      <c r="C85">
        <v>2023</v>
      </c>
      <c r="D85">
        <v>23</v>
      </c>
      <c r="E85">
        <v>12549689</v>
      </c>
      <c r="F85">
        <v>0.2</v>
      </c>
    </row>
    <row r="86" spans="1:7" hidden="1" x14ac:dyDescent="0.25">
      <c r="A86" t="s">
        <v>20</v>
      </c>
      <c r="B86">
        <v>18</v>
      </c>
      <c r="C86">
        <v>2018</v>
      </c>
      <c r="D86">
        <v>20</v>
      </c>
      <c r="E86">
        <v>6691878</v>
      </c>
      <c r="F86">
        <v>0.3</v>
      </c>
    </row>
    <row r="87" spans="1:7" hidden="1" x14ac:dyDescent="0.25">
      <c r="A87" t="s">
        <v>20</v>
      </c>
      <c r="B87">
        <v>18</v>
      </c>
      <c r="C87">
        <v>2019</v>
      </c>
      <c r="D87">
        <v>23</v>
      </c>
      <c r="E87">
        <v>6732219</v>
      </c>
      <c r="F87">
        <v>0.3</v>
      </c>
    </row>
    <row r="88" spans="1:7" hidden="1" x14ac:dyDescent="0.25">
      <c r="A88" t="s">
        <v>20</v>
      </c>
      <c r="B88">
        <v>18</v>
      </c>
      <c r="C88">
        <v>2020</v>
      </c>
      <c r="D88">
        <v>25</v>
      </c>
      <c r="E88">
        <v>6754953</v>
      </c>
      <c r="F88">
        <v>0.4</v>
      </c>
    </row>
    <row r="89" spans="1:7" hidden="1" x14ac:dyDescent="0.25">
      <c r="A89" t="s">
        <v>20</v>
      </c>
      <c r="B89">
        <v>18</v>
      </c>
      <c r="C89">
        <v>2021</v>
      </c>
      <c r="D89">
        <v>32</v>
      </c>
      <c r="E89">
        <v>6805985</v>
      </c>
      <c r="F89">
        <v>0.5</v>
      </c>
    </row>
    <row r="90" spans="1:7" hidden="1" x14ac:dyDescent="0.25">
      <c r="A90" t="s">
        <v>20</v>
      </c>
      <c r="B90">
        <v>18</v>
      </c>
      <c r="C90">
        <v>2022</v>
      </c>
      <c r="D90">
        <v>24</v>
      </c>
      <c r="E90">
        <v>6833037</v>
      </c>
      <c r="F90">
        <v>0.4</v>
      </c>
    </row>
    <row r="91" spans="1:7" x14ac:dyDescent="0.25">
      <c r="A91" t="s">
        <v>20</v>
      </c>
      <c r="B91">
        <v>18</v>
      </c>
      <c r="C91">
        <v>2023</v>
      </c>
      <c r="D91">
        <v>21</v>
      </c>
      <c r="E91">
        <v>6862199</v>
      </c>
      <c r="F91">
        <v>0.3</v>
      </c>
    </row>
    <row r="92" spans="1:7" hidden="1" x14ac:dyDescent="0.25">
      <c r="A92" t="s">
        <v>21</v>
      </c>
      <c r="B92">
        <v>19</v>
      </c>
      <c r="C92">
        <v>2018</v>
      </c>
      <c r="D92" t="s">
        <v>7</v>
      </c>
      <c r="E92">
        <v>3156145</v>
      </c>
      <c r="F92" t="s">
        <v>7</v>
      </c>
    </row>
    <row r="93" spans="1:7" hidden="1" x14ac:dyDescent="0.25">
      <c r="A93" t="s">
        <v>21</v>
      </c>
      <c r="B93">
        <v>19</v>
      </c>
      <c r="C93">
        <v>2019</v>
      </c>
      <c r="D93" t="s">
        <v>7</v>
      </c>
      <c r="E93">
        <v>3155070</v>
      </c>
      <c r="F93" t="s">
        <v>7</v>
      </c>
    </row>
    <row r="94" spans="1:7" hidden="1" x14ac:dyDescent="0.25">
      <c r="A94" t="s">
        <v>21</v>
      </c>
      <c r="B94">
        <v>19</v>
      </c>
      <c r="C94">
        <v>2020</v>
      </c>
      <c r="D94" t="s">
        <v>7</v>
      </c>
      <c r="E94">
        <v>3163561</v>
      </c>
      <c r="F94" t="s">
        <v>7</v>
      </c>
    </row>
    <row r="95" spans="1:7" hidden="1" x14ac:dyDescent="0.25">
      <c r="A95" t="s">
        <v>21</v>
      </c>
      <c r="B95">
        <v>19</v>
      </c>
      <c r="C95">
        <v>2021</v>
      </c>
      <c r="D95">
        <v>16</v>
      </c>
      <c r="E95">
        <v>3193079</v>
      </c>
      <c r="F95">
        <v>0.5</v>
      </c>
      <c r="G95" t="s">
        <v>5</v>
      </c>
    </row>
    <row r="96" spans="1:7" hidden="1" x14ac:dyDescent="0.25">
      <c r="A96" t="s">
        <v>21</v>
      </c>
      <c r="B96">
        <v>19</v>
      </c>
      <c r="C96">
        <v>2022</v>
      </c>
      <c r="D96" t="s">
        <v>7</v>
      </c>
      <c r="E96">
        <v>3200517</v>
      </c>
      <c r="F96" t="s">
        <v>7</v>
      </c>
    </row>
    <row r="97" spans="1:7" x14ac:dyDescent="0.25">
      <c r="A97" t="s">
        <v>21</v>
      </c>
      <c r="B97">
        <v>19</v>
      </c>
      <c r="C97">
        <v>2023</v>
      </c>
      <c r="D97" t="s">
        <v>7</v>
      </c>
      <c r="E97">
        <v>3207004</v>
      </c>
      <c r="F97" t="s">
        <v>7</v>
      </c>
    </row>
    <row r="98" spans="1:7" hidden="1" x14ac:dyDescent="0.25">
      <c r="A98" t="s">
        <v>22</v>
      </c>
      <c r="B98">
        <v>20</v>
      </c>
      <c r="C98">
        <v>2018</v>
      </c>
      <c r="D98" t="s">
        <v>7</v>
      </c>
      <c r="E98">
        <v>2911505</v>
      </c>
      <c r="F98" t="s">
        <v>7</v>
      </c>
    </row>
    <row r="99" spans="1:7" hidden="1" x14ac:dyDescent="0.25">
      <c r="A99" t="s">
        <v>22</v>
      </c>
      <c r="B99">
        <v>20</v>
      </c>
      <c r="C99">
        <v>2019</v>
      </c>
      <c r="D99" t="s">
        <v>7</v>
      </c>
      <c r="E99">
        <v>2913314</v>
      </c>
      <c r="F99" t="s">
        <v>7</v>
      </c>
    </row>
    <row r="100" spans="1:7" hidden="1" x14ac:dyDescent="0.25">
      <c r="A100" t="s">
        <v>22</v>
      </c>
      <c r="B100">
        <v>20</v>
      </c>
      <c r="C100">
        <v>2020</v>
      </c>
      <c r="D100">
        <v>10</v>
      </c>
      <c r="E100">
        <v>2913805</v>
      </c>
      <c r="F100">
        <v>0.3</v>
      </c>
      <c r="G100" t="s">
        <v>5</v>
      </c>
    </row>
    <row r="101" spans="1:7" hidden="1" x14ac:dyDescent="0.25">
      <c r="A101" t="s">
        <v>22</v>
      </c>
      <c r="B101">
        <v>20</v>
      </c>
      <c r="C101">
        <v>2021</v>
      </c>
      <c r="D101" t="s">
        <v>7</v>
      </c>
      <c r="E101">
        <v>2934582</v>
      </c>
      <c r="F101" t="s">
        <v>7</v>
      </c>
    </row>
    <row r="102" spans="1:7" hidden="1" x14ac:dyDescent="0.25">
      <c r="A102" t="s">
        <v>22</v>
      </c>
      <c r="B102">
        <v>20</v>
      </c>
      <c r="C102">
        <v>2022</v>
      </c>
      <c r="D102" t="s">
        <v>7</v>
      </c>
      <c r="E102">
        <v>2937150</v>
      </c>
      <c r="F102" t="s">
        <v>7</v>
      </c>
    </row>
    <row r="103" spans="1:7" x14ac:dyDescent="0.25">
      <c r="A103" t="s">
        <v>22</v>
      </c>
      <c r="B103">
        <v>20</v>
      </c>
      <c r="C103">
        <v>2023</v>
      </c>
      <c r="D103" t="s">
        <v>7</v>
      </c>
      <c r="E103">
        <v>2940546</v>
      </c>
      <c r="F103" t="s">
        <v>7</v>
      </c>
    </row>
    <row r="104" spans="1:7" hidden="1" x14ac:dyDescent="0.25">
      <c r="A104" t="s">
        <v>23</v>
      </c>
      <c r="B104">
        <v>21</v>
      </c>
      <c r="C104">
        <v>2018</v>
      </c>
      <c r="D104">
        <v>22</v>
      </c>
      <c r="E104">
        <v>4468402</v>
      </c>
      <c r="F104">
        <v>0.5</v>
      </c>
    </row>
    <row r="105" spans="1:7" hidden="1" x14ac:dyDescent="0.25">
      <c r="A105" t="s">
        <v>23</v>
      </c>
      <c r="B105">
        <v>21</v>
      </c>
      <c r="C105">
        <v>2019</v>
      </c>
      <c r="D105">
        <v>20</v>
      </c>
      <c r="E105">
        <v>4467673</v>
      </c>
      <c r="F105">
        <v>0.4</v>
      </c>
    </row>
    <row r="106" spans="1:7" hidden="1" x14ac:dyDescent="0.25">
      <c r="A106" t="s">
        <v>23</v>
      </c>
      <c r="B106">
        <v>21</v>
      </c>
      <c r="C106">
        <v>2020</v>
      </c>
      <c r="D106">
        <v>21</v>
      </c>
      <c r="E106">
        <v>4477251</v>
      </c>
      <c r="F106">
        <v>0.5</v>
      </c>
    </row>
    <row r="107" spans="1:7" hidden="1" x14ac:dyDescent="0.25">
      <c r="A107" t="s">
        <v>23</v>
      </c>
      <c r="B107">
        <v>21</v>
      </c>
      <c r="C107">
        <v>2021</v>
      </c>
      <c r="D107">
        <v>18</v>
      </c>
      <c r="E107">
        <v>4509394</v>
      </c>
      <c r="F107">
        <v>0.4</v>
      </c>
      <c r="G107" t="s">
        <v>5</v>
      </c>
    </row>
    <row r="108" spans="1:7" hidden="1" x14ac:dyDescent="0.25">
      <c r="A108" t="s">
        <v>23</v>
      </c>
      <c r="B108">
        <v>21</v>
      </c>
      <c r="C108">
        <v>2022</v>
      </c>
      <c r="D108">
        <v>10</v>
      </c>
      <c r="E108">
        <v>4512310</v>
      </c>
      <c r="F108">
        <v>0.2</v>
      </c>
      <c r="G108" t="s">
        <v>5</v>
      </c>
    </row>
    <row r="109" spans="1:7" x14ac:dyDescent="0.25">
      <c r="A109" t="s">
        <v>23</v>
      </c>
      <c r="B109">
        <v>21</v>
      </c>
      <c r="C109">
        <v>2023</v>
      </c>
      <c r="D109">
        <v>13</v>
      </c>
      <c r="E109">
        <v>4526154</v>
      </c>
      <c r="F109">
        <v>0.3</v>
      </c>
      <c r="G109" t="s">
        <v>5</v>
      </c>
    </row>
    <row r="110" spans="1:7" hidden="1" x14ac:dyDescent="0.25">
      <c r="A110" t="s">
        <v>24</v>
      </c>
      <c r="B110">
        <v>22</v>
      </c>
      <c r="C110">
        <v>2018</v>
      </c>
      <c r="D110">
        <v>15</v>
      </c>
      <c r="E110">
        <v>4659978</v>
      </c>
      <c r="F110">
        <v>0.3</v>
      </c>
      <c r="G110" t="s">
        <v>5</v>
      </c>
    </row>
    <row r="111" spans="1:7" hidden="1" x14ac:dyDescent="0.25">
      <c r="A111" t="s">
        <v>24</v>
      </c>
      <c r="B111">
        <v>22</v>
      </c>
      <c r="C111">
        <v>2019</v>
      </c>
      <c r="D111">
        <v>20</v>
      </c>
      <c r="E111">
        <v>4648794</v>
      </c>
      <c r="F111">
        <v>0.4</v>
      </c>
    </row>
    <row r="112" spans="1:7" hidden="1" x14ac:dyDescent="0.25">
      <c r="A112" t="s">
        <v>24</v>
      </c>
      <c r="B112">
        <v>22</v>
      </c>
      <c r="C112">
        <v>2020</v>
      </c>
      <c r="D112">
        <v>21</v>
      </c>
      <c r="E112">
        <v>4645318</v>
      </c>
      <c r="F112">
        <v>0.5</v>
      </c>
    </row>
    <row r="113" spans="1:7" hidden="1" x14ac:dyDescent="0.25">
      <c r="A113" t="s">
        <v>24</v>
      </c>
      <c r="B113">
        <v>22</v>
      </c>
      <c r="C113">
        <v>2021</v>
      </c>
      <c r="D113">
        <v>35</v>
      </c>
      <c r="E113">
        <v>4624047</v>
      </c>
      <c r="F113">
        <v>0.8</v>
      </c>
    </row>
    <row r="114" spans="1:7" hidden="1" x14ac:dyDescent="0.25">
      <c r="A114" t="s">
        <v>24</v>
      </c>
      <c r="B114">
        <v>22</v>
      </c>
      <c r="C114">
        <v>2022</v>
      </c>
      <c r="D114">
        <v>17</v>
      </c>
      <c r="E114">
        <v>4590241</v>
      </c>
      <c r="F114">
        <v>0.4</v>
      </c>
      <c r="G114" t="s">
        <v>5</v>
      </c>
    </row>
    <row r="115" spans="1:7" x14ac:dyDescent="0.25">
      <c r="A115" t="s">
        <v>24</v>
      </c>
      <c r="B115">
        <v>22</v>
      </c>
      <c r="C115">
        <v>2023</v>
      </c>
      <c r="D115">
        <v>23</v>
      </c>
      <c r="E115">
        <v>4573749</v>
      </c>
      <c r="F115">
        <v>0.5</v>
      </c>
    </row>
    <row r="116" spans="1:7" hidden="1" x14ac:dyDescent="0.25">
      <c r="A116" t="s">
        <v>25</v>
      </c>
      <c r="B116">
        <v>23</v>
      </c>
      <c r="C116">
        <v>2018</v>
      </c>
      <c r="D116">
        <v>0</v>
      </c>
      <c r="E116">
        <v>1338404</v>
      </c>
      <c r="F116">
        <v>0</v>
      </c>
      <c r="G116" t="s">
        <v>5</v>
      </c>
    </row>
    <row r="117" spans="1:7" hidden="1" x14ac:dyDescent="0.25">
      <c r="A117" t="s">
        <v>25</v>
      </c>
      <c r="B117">
        <v>23</v>
      </c>
      <c r="C117">
        <v>2019</v>
      </c>
      <c r="D117">
        <v>0</v>
      </c>
      <c r="E117">
        <v>1344212</v>
      </c>
      <c r="F117">
        <v>0</v>
      </c>
      <c r="G117" t="s">
        <v>5</v>
      </c>
    </row>
    <row r="118" spans="1:7" hidden="1" x14ac:dyDescent="0.25">
      <c r="A118" t="s">
        <v>25</v>
      </c>
      <c r="B118">
        <v>23</v>
      </c>
      <c r="C118">
        <v>2020</v>
      </c>
      <c r="D118" t="s">
        <v>7</v>
      </c>
      <c r="E118">
        <v>1350141</v>
      </c>
      <c r="F118" t="s">
        <v>7</v>
      </c>
    </row>
    <row r="119" spans="1:7" hidden="1" x14ac:dyDescent="0.25">
      <c r="A119" t="s">
        <v>25</v>
      </c>
      <c r="B119">
        <v>23</v>
      </c>
      <c r="C119">
        <v>2021</v>
      </c>
      <c r="D119" t="s">
        <v>7</v>
      </c>
      <c r="E119">
        <v>1372247</v>
      </c>
      <c r="F119" t="s">
        <v>7</v>
      </c>
    </row>
    <row r="120" spans="1:7" hidden="1" x14ac:dyDescent="0.25">
      <c r="A120" t="s">
        <v>25</v>
      </c>
      <c r="B120">
        <v>23</v>
      </c>
      <c r="C120">
        <v>2022</v>
      </c>
      <c r="D120" t="s">
        <v>7</v>
      </c>
      <c r="E120">
        <v>1385340</v>
      </c>
      <c r="F120" t="s">
        <v>7</v>
      </c>
    </row>
    <row r="121" spans="1:7" x14ac:dyDescent="0.25">
      <c r="A121" t="s">
        <v>25</v>
      </c>
      <c r="B121">
        <v>23</v>
      </c>
      <c r="C121">
        <v>2023</v>
      </c>
      <c r="D121" t="s">
        <v>7</v>
      </c>
      <c r="E121">
        <v>1395722</v>
      </c>
      <c r="F121" t="s">
        <v>7</v>
      </c>
    </row>
    <row r="122" spans="1:7" hidden="1" x14ac:dyDescent="0.25">
      <c r="A122" t="s">
        <v>26</v>
      </c>
      <c r="B122">
        <v>24</v>
      </c>
      <c r="C122">
        <v>2018</v>
      </c>
      <c r="D122">
        <v>10</v>
      </c>
      <c r="E122">
        <v>6042718</v>
      </c>
      <c r="F122">
        <v>0.2</v>
      </c>
      <c r="G122" t="s">
        <v>5</v>
      </c>
    </row>
    <row r="123" spans="1:7" hidden="1" x14ac:dyDescent="0.25">
      <c r="A123" t="s">
        <v>26</v>
      </c>
      <c r="B123">
        <v>24</v>
      </c>
      <c r="C123">
        <v>2019</v>
      </c>
      <c r="D123">
        <v>15</v>
      </c>
      <c r="E123">
        <v>6045680</v>
      </c>
      <c r="F123">
        <v>0.2</v>
      </c>
      <c r="G123" t="s">
        <v>5</v>
      </c>
    </row>
    <row r="124" spans="1:7" hidden="1" x14ac:dyDescent="0.25">
      <c r="A124" t="s">
        <v>26</v>
      </c>
      <c r="B124">
        <v>24</v>
      </c>
      <c r="C124">
        <v>2020</v>
      </c>
      <c r="D124">
        <v>14</v>
      </c>
      <c r="E124">
        <v>6055802</v>
      </c>
      <c r="F124">
        <v>0.2</v>
      </c>
      <c r="G124" t="s">
        <v>5</v>
      </c>
    </row>
    <row r="125" spans="1:7" hidden="1" x14ac:dyDescent="0.25">
      <c r="A125" t="s">
        <v>26</v>
      </c>
      <c r="B125">
        <v>24</v>
      </c>
      <c r="C125">
        <v>2021</v>
      </c>
      <c r="D125">
        <v>20</v>
      </c>
      <c r="E125">
        <v>6165129</v>
      </c>
      <c r="F125">
        <v>0.3</v>
      </c>
    </row>
    <row r="126" spans="1:7" hidden="1" x14ac:dyDescent="0.25">
      <c r="A126" t="s">
        <v>26</v>
      </c>
      <c r="B126">
        <v>24</v>
      </c>
      <c r="C126">
        <v>2022</v>
      </c>
      <c r="D126">
        <v>15</v>
      </c>
      <c r="E126">
        <v>6164660</v>
      </c>
      <c r="F126">
        <v>0.2</v>
      </c>
      <c r="G126" t="s">
        <v>5</v>
      </c>
    </row>
    <row r="127" spans="1:7" x14ac:dyDescent="0.25">
      <c r="A127" t="s">
        <v>26</v>
      </c>
      <c r="B127">
        <v>24</v>
      </c>
      <c r="C127">
        <v>2023</v>
      </c>
      <c r="D127" t="s">
        <v>7</v>
      </c>
      <c r="E127">
        <v>6180253</v>
      </c>
      <c r="F127" t="s">
        <v>7</v>
      </c>
    </row>
    <row r="128" spans="1:7" hidden="1" x14ac:dyDescent="0.25">
      <c r="A128" t="s">
        <v>27</v>
      </c>
      <c r="B128">
        <v>25</v>
      </c>
      <c r="C128">
        <v>2018</v>
      </c>
      <c r="D128">
        <v>12</v>
      </c>
      <c r="E128">
        <v>6902149</v>
      </c>
      <c r="F128">
        <v>0.2</v>
      </c>
      <c r="G128" t="s">
        <v>5</v>
      </c>
    </row>
    <row r="129" spans="1:7" hidden="1" x14ac:dyDescent="0.25">
      <c r="A129" t="s">
        <v>27</v>
      </c>
      <c r="B129">
        <v>25</v>
      </c>
      <c r="C129">
        <v>2019</v>
      </c>
      <c r="D129" t="s">
        <v>7</v>
      </c>
      <c r="E129">
        <v>6892503</v>
      </c>
      <c r="F129" t="s">
        <v>7</v>
      </c>
    </row>
    <row r="130" spans="1:7" hidden="1" x14ac:dyDescent="0.25">
      <c r="A130" t="s">
        <v>27</v>
      </c>
      <c r="B130">
        <v>25</v>
      </c>
      <c r="C130">
        <v>2020</v>
      </c>
      <c r="D130">
        <v>12</v>
      </c>
      <c r="E130">
        <v>6893574</v>
      </c>
      <c r="F130">
        <v>0.2</v>
      </c>
      <c r="G130" t="s">
        <v>5</v>
      </c>
    </row>
    <row r="131" spans="1:7" hidden="1" x14ac:dyDescent="0.25">
      <c r="A131" t="s">
        <v>27</v>
      </c>
      <c r="B131">
        <v>25</v>
      </c>
      <c r="C131">
        <v>2021</v>
      </c>
      <c r="D131">
        <v>12</v>
      </c>
      <c r="E131">
        <v>6984723</v>
      </c>
      <c r="F131">
        <v>0.2</v>
      </c>
      <c r="G131" t="s">
        <v>5</v>
      </c>
    </row>
    <row r="132" spans="1:7" hidden="1" x14ac:dyDescent="0.25">
      <c r="A132" t="s">
        <v>27</v>
      </c>
      <c r="B132">
        <v>25</v>
      </c>
      <c r="C132">
        <v>2022</v>
      </c>
      <c r="D132">
        <v>14</v>
      </c>
      <c r="E132">
        <v>6981974</v>
      </c>
      <c r="F132">
        <v>0.2</v>
      </c>
      <c r="G132" t="s">
        <v>5</v>
      </c>
    </row>
    <row r="133" spans="1:7" x14ac:dyDescent="0.25">
      <c r="A133" t="s">
        <v>27</v>
      </c>
      <c r="B133">
        <v>25</v>
      </c>
      <c r="C133">
        <v>2023</v>
      </c>
      <c r="D133" t="s">
        <v>7</v>
      </c>
      <c r="E133">
        <v>7001399</v>
      </c>
      <c r="F133" t="s">
        <v>7</v>
      </c>
    </row>
    <row r="134" spans="1:7" hidden="1" x14ac:dyDescent="0.25">
      <c r="A134" t="s">
        <v>28</v>
      </c>
      <c r="B134">
        <v>26</v>
      </c>
      <c r="C134">
        <v>2018</v>
      </c>
      <c r="D134">
        <v>18</v>
      </c>
      <c r="E134">
        <v>9995915</v>
      </c>
      <c r="F134">
        <v>0.2</v>
      </c>
      <c r="G134" t="s">
        <v>5</v>
      </c>
    </row>
    <row r="135" spans="1:7" hidden="1" x14ac:dyDescent="0.25">
      <c r="A135" t="s">
        <v>28</v>
      </c>
      <c r="B135">
        <v>26</v>
      </c>
      <c r="C135">
        <v>2019</v>
      </c>
      <c r="D135">
        <v>16</v>
      </c>
      <c r="E135">
        <v>9986857</v>
      </c>
      <c r="F135">
        <v>0.2</v>
      </c>
      <c r="G135" t="s">
        <v>5</v>
      </c>
    </row>
    <row r="136" spans="1:7" hidden="1" x14ac:dyDescent="0.25">
      <c r="A136" t="s">
        <v>28</v>
      </c>
      <c r="B136">
        <v>26</v>
      </c>
      <c r="C136">
        <v>2020</v>
      </c>
      <c r="D136">
        <v>29</v>
      </c>
      <c r="E136">
        <v>9966555</v>
      </c>
      <c r="F136">
        <v>0.3</v>
      </c>
    </row>
    <row r="137" spans="1:7" hidden="1" x14ac:dyDescent="0.25">
      <c r="A137" t="s">
        <v>28</v>
      </c>
      <c r="B137">
        <v>26</v>
      </c>
      <c r="C137">
        <v>2021</v>
      </c>
      <c r="D137">
        <v>20</v>
      </c>
      <c r="E137">
        <v>10050811</v>
      </c>
      <c r="F137">
        <v>0.2</v>
      </c>
    </row>
    <row r="138" spans="1:7" hidden="1" x14ac:dyDescent="0.25">
      <c r="A138" t="s">
        <v>28</v>
      </c>
      <c r="B138">
        <v>26</v>
      </c>
      <c r="C138">
        <v>2022</v>
      </c>
      <c r="D138">
        <v>18</v>
      </c>
      <c r="E138">
        <v>10034113</v>
      </c>
      <c r="F138">
        <v>0.2</v>
      </c>
      <c r="G138" t="s">
        <v>5</v>
      </c>
    </row>
    <row r="139" spans="1:7" x14ac:dyDescent="0.25">
      <c r="A139" t="s">
        <v>28</v>
      </c>
      <c r="B139">
        <v>26</v>
      </c>
      <c r="C139">
        <v>2023</v>
      </c>
      <c r="D139">
        <v>14</v>
      </c>
      <c r="E139">
        <v>10037261</v>
      </c>
      <c r="F139">
        <v>0.1</v>
      </c>
      <c r="G139" t="s">
        <v>5</v>
      </c>
    </row>
    <row r="140" spans="1:7" hidden="1" x14ac:dyDescent="0.25">
      <c r="A140" t="s">
        <v>29</v>
      </c>
      <c r="B140">
        <v>27</v>
      </c>
      <c r="C140">
        <v>2018</v>
      </c>
      <c r="D140" t="s">
        <v>7</v>
      </c>
      <c r="E140">
        <v>5611179</v>
      </c>
      <c r="F140" t="s">
        <v>7</v>
      </c>
    </row>
    <row r="141" spans="1:7" hidden="1" x14ac:dyDescent="0.25">
      <c r="A141" t="s">
        <v>29</v>
      </c>
      <c r="B141">
        <v>27</v>
      </c>
      <c r="C141">
        <v>2019</v>
      </c>
      <c r="D141" t="s">
        <v>7</v>
      </c>
      <c r="E141">
        <v>5639632</v>
      </c>
      <c r="F141" t="s">
        <v>7</v>
      </c>
    </row>
    <row r="142" spans="1:7" hidden="1" x14ac:dyDescent="0.25">
      <c r="A142" t="s">
        <v>29</v>
      </c>
      <c r="B142">
        <v>27</v>
      </c>
      <c r="C142">
        <v>2020</v>
      </c>
      <c r="D142" t="s">
        <v>7</v>
      </c>
      <c r="E142">
        <v>5657342</v>
      </c>
      <c r="F142" t="s">
        <v>7</v>
      </c>
    </row>
    <row r="143" spans="1:7" hidden="1" x14ac:dyDescent="0.25">
      <c r="A143" t="s">
        <v>29</v>
      </c>
      <c r="B143">
        <v>27</v>
      </c>
      <c r="C143">
        <v>2021</v>
      </c>
      <c r="D143">
        <v>14</v>
      </c>
      <c r="E143">
        <v>5707390</v>
      </c>
      <c r="F143">
        <v>0.2</v>
      </c>
      <c r="G143" t="s">
        <v>5</v>
      </c>
    </row>
    <row r="144" spans="1:7" hidden="1" x14ac:dyDescent="0.25">
      <c r="A144" t="s">
        <v>29</v>
      </c>
      <c r="B144">
        <v>27</v>
      </c>
      <c r="C144">
        <v>2022</v>
      </c>
      <c r="D144" t="s">
        <v>7</v>
      </c>
      <c r="E144">
        <v>5717184</v>
      </c>
      <c r="F144" t="s">
        <v>7</v>
      </c>
    </row>
    <row r="145" spans="1:7" x14ac:dyDescent="0.25">
      <c r="A145" t="s">
        <v>29</v>
      </c>
      <c r="B145">
        <v>27</v>
      </c>
      <c r="C145">
        <v>2023</v>
      </c>
      <c r="D145">
        <v>11</v>
      </c>
      <c r="E145">
        <v>5737915</v>
      </c>
      <c r="F145">
        <v>0.2</v>
      </c>
      <c r="G145" t="s">
        <v>5</v>
      </c>
    </row>
    <row r="146" spans="1:7" hidden="1" x14ac:dyDescent="0.25">
      <c r="A146" t="s">
        <v>30</v>
      </c>
      <c r="B146">
        <v>28</v>
      </c>
      <c r="C146">
        <v>2018</v>
      </c>
      <c r="D146" t="s">
        <v>7</v>
      </c>
      <c r="E146">
        <v>2986530</v>
      </c>
      <c r="F146" t="s">
        <v>7</v>
      </c>
    </row>
    <row r="147" spans="1:7" hidden="1" x14ac:dyDescent="0.25">
      <c r="A147" t="s">
        <v>30</v>
      </c>
      <c r="B147">
        <v>28</v>
      </c>
      <c r="C147">
        <v>2019</v>
      </c>
      <c r="D147">
        <v>15</v>
      </c>
      <c r="E147">
        <v>2976149</v>
      </c>
      <c r="F147">
        <v>0.5</v>
      </c>
      <c r="G147" t="s">
        <v>5</v>
      </c>
    </row>
    <row r="148" spans="1:7" hidden="1" x14ac:dyDescent="0.25">
      <c r="A148" t="s">
        <v>30</v>
      </c>
      <c r="B148">
        <v>28</v>
      </c>
      <c r="C148">
        <v>2020</v>
      </c>
      <c r="D148">
        <v>10</v>
      </c>
      <c r="E148">
        <v>2966786</v>
      </c>
      <c r="F148">
        <v>0.3</v>
      </c>
      <c r="G148" t="s">
        <v>5</v>
      </c>
    </row>
    <row r="149" spans="1:7" hidden="1" x14ac:dyDescent="0.25">
      <c r="A149" t="s">
        <v>30</v>
      </c>
      <c r="B149">
        <v>28</v>
      </c>
      <c r="C149">
        <v>2021</v>
      </c>
      <c r="D149">
        <v>29</v>
      </c>
      <c r="E149">
        <v>2949965</v>
      </c>
      <c r="F149">
        <v>1</v>
      </c>
    </row>
    <row r="150" spans="1:7" hidden="1" x14ac:dyDescent="0.25">
      <c r="A150" t="s">
        <v>30</v>
      </c>
      <c r="B150">
        <v>28</v>
      </c>
      <c r="C150">
        <v>2022</v>
      </c>
      <c r="D150" t="s">
        <v>7</v>
      </c>
      <c r="E150">
        <v>2940057</v>
      </c>
      <c r="F150" t="s">
        <v>7</v>
      </c>
    </row>
    <row r="151" spans="1:7" x14ac:dyDescent="0.25">
      <c r="A151" t="s">
        <v>30</v>
      </c>
      <c r="B151">
        <v>28</v>
      </c>
      <c r="C151">
        <v>2023</v>
      </c>
      <c r="D151" t="s">
        <v>7</v>
      </c>
      <c r="E151">
        <v>2939690</v>
      </c>
      <c r="F151" t="s">
        <v>7</v>
      </c>
    </row>
    <row r="152" spans="1:7" hidden="1" x14ac:dyDescent="0.25">
      <c r="A152" t="s">
        <v>31</v>
      </c>
      <c r="B152">
        <v>29</v>
      </c>
      <c r="C152">
        <v>2018</v>
      </c>
      <c r="D152">
        <v>12</v>
      </c>
      <c r="E152">
        <v>6126452</v>
      </c>
      <c r="F152">
        <v>0.2</v>
      </c>
      <c r="G152" t="s">
        <v>5</v>
      </c>
    </row>
    <row r="153" spans="1:7" hidden="1" x14ac:dyDescent="0.25">
      <c r="A153" t="s">
        <v>31</v>
      </c>
      <c r="B153">
        <v>29</v>
      </c>
      <c r="C153">
        <v>2019</v>
      </c>
      <c r="D153">
        <v>12</v>
      </c>
      <c r="E153">
        <v>6137428</v>
      </c>
      <c r="F153">
        <v>0.2</v>
      </c>
      <c r="G153" t="s">
        <v>5</v>
      </c>
    </row>
    <row r="154" spans="1:7" hidden="1" x14ac:dyDescent="0.25">
      <c r="A154" t="s">
        <v>31</v>
      </c>
      <c r="B154">
        <v>29</v>
      </c>
      <c r="C154">
        <v>2020</v>
      </c>
      <c r="D154">
        <v>30</v>
      </c>
      <c r="E154">
        <v>6151548</v>
      </c>
      <c r="F154">
        <v>0.5</v>
      </c>
    </row>
    <row r="155" spans="1:7" hidden="1" x14ac:dyDescent="0.25">
      <c r="A155" t="s">
        <v>31</v>
      </c>
      <c r="B155">
        <v>29</v>
      </c>
      <c r="C155">
        <v>2021</v>
      </c>
      <c r="D155">
        <v>19</v>
      </c>
      <c r="E155">
        <v>6168187</v>
      </c>
      <c r="F155">
        <v>0.3</v>
      </c>
      <c r="G155" t="s">
        <v>5</v>
      </c>
    </row>
    <row r="156" spans="1:7" hidden="1" x14ac:dyDescent="0.25">
      <c r="A156" t="s">
        <v>31</v>
      </c>
      <c r="B156">
        <v>29</v>
      </c>
      <c r="C156">
        <v>2022</v>
      </c>
      <c r="D156">
        <v>11</v>
      </c>
      <c r="E156">
        <v>6177957</v>
      </c>
      <c r="F156">
        <v>0.2</v>
      </c>
      <c r="G156" t="s">
        <v>5</v>
      </c>
    </row>
    <row r="157" spans="1:7" x14ac:dyDescent="0.25">
      <c r="A157" t="s">
        <v>31</v>
      </c>
      <c r="B157">
        <v>29</v>
      </c>
      <c r="C157">
        <v>2023</v>
      </c>
      <c r="D157">
        <v>16</v>
      </c>
      <c r="E157">
        <v>6196156</v>
      </c>
      <c r="F157">
        <v>0.3</v>
      </c>
      <c r="G157" t="s">
        <v>5</v>
      </c>
    </row>
    <row r="158" spans="1:7" hidden="1" x14ac:dyDescent="0.25">
      <c r="A158" t="s">
        <v>32</v>
      </c>
      <c r="B158">
        <v>30</v>
      </c>
      <c r="C158">
        <v>2018</v>
      </c>
      <c r="D158" t="s">
        <v>7</v>
      </c>
      <c r="E158">
        <v>1062305</v>
      </c>
      <c r="F158" t="s">
        <v>7</v>
      </c>
    </row>
    <row r="159" spans="1:7" hidden="1" x14ac:dyDescent="0.25">
      <c r="A159" t="s">
        <v>32</v>
      </c>
      <c r="B159">
        <v>30</v>
      </c>
      <c r="C159">
        <v>2019</v>
      </c>
      <c r="D159" t="s">
        <v>7</v>
      </c>
      <c r="E159">
        <v>1068778</v>
      </c>
      <c r="F159" t="s">
        <v>7</v>
      </c>
    </row>
    <row r="160" spans="1:7" hidden="1" x14ac:dyDescent="0.25">
      <c r="A160" t="s">
        <v>32</v>
      </c>
      <c r="B160">
        <v>30</v>
      </c>
      <c r="C160">
        <v>2020</v>
      </c>
      <c r="D160" t="s">
        <v>7</v>
      </c>
      <c r="E160">
        <v>1080577</v>
      </c>
      <c r="F160" t="s">
        <v>7</v>
      </c>
    </row>
    <row r="161" spans="1:7" hidden="1" x14ac:dyDescent="0.25">
      <c r="A161" t="s">
        <v>32</v>
      </c>
      <c r="B161">
        <v>30</v>
      </c>
      <c r="C161">
        <v>2021</v>
      </c>
      <c r="D161" t="s">
        <v>7</v>
      </c>
      <c r="E161">
        <v>1104271</v>
      </c>
      <c r="F161" t="s">
        <v>7</v>
      </c>
    </row>
    <row r="162" spans="1:7" hidden="1" x14ac:dyDescent="0.25">
      <c r="A162" t="s">
        <v>32</v>
      </c>
      <c r="B162">
        <v>30</v>
      </c>
      <c r="C162">
        <v>2022</v>
      </c>
      <c r="D162" t="s">
        <v>7</v>
      </c>
      <c r="E162">
        <v>1122867</v>
      </c>
      <c r="F162" t="s">
        <v>7</v>
      </c>
    </row>
    <row r="163" spans="1:7" x14ac:dyDescent="0.25">
      <c r="A163" t="s">
        <v>32</v>
      </c>
      <c r="B163">
        <v>30</v>
      </c>
      <c r="C163">
        <v>2023</v>
      </c>
      <c r="D163" t="s">
        <v>7</v>
      </c>
      <c r="E163">
        <v>1132812</v>
      </c>
      <c r="F163" t="s">
        <v>7</v>
      </c>
    </row>
    <row r="164" spans="1:7" hidden="1" x14ac:dyDescent="0.25">
      <c r="A164" t="s">
        <v>33</v>
      </c>
      <c r="B164">
        <v>31</v>
      </c>
      <c r="C164">
        <v>2018</v>
      </c>
      <c r="D164" t="s">
        <v>7</v>
      </c>
      <c r="E164">
        <v>1929268</v>
      </c>
      <c r="F164" t="s">
        <v>7</v>
      </c>
    </row>
    <row r="165" spans="1:7" hidden="1" x14ac:dyDescent="0.25">
      <c r="A165" t="s">
        <v>33</v>
      </c>
      <c r="B165">
        <v>31</v>
      </c>
      <c r="C165">
        <v>2019</v>
      </c>
      <c r="D165" t="s">
        <v>7</v>
      </c>
      <c r="E165">
        <v>1934408</v>
      </c>
      <c r="F165" t="s">
        <v>7</v>
      </c>
    </row>
    <row r="166" spans="1:7" hidden="1" x14ac:dyDescent="0.25">
      <c r="A166" t="s">
        <v>33</v>
      </c>
      <c r="B166">
        <v>31</v>
      </c>
      <c r="C166">
        <v>2020</v>
      </c>
      <c r="D166" t="s">
        <v>7</v>
      </c>
      <c r="E166">
        <v>1937552</v>
      </c>
      <c r="F166" t="s">
        <v>7</v>
      </c>
    </row>
    <row r="167" spans="1:7" hidden="1" x14ac:dyDescent="0.25">
      <c r="A167" t="s">
        <v>33</v>
      </c>
      <c r="B167">
        <v>31</v>
      </c>
      <c r="C167">
        <v>2021</v>
      </c>
      <c r="D167" t="s">
        <v>7</v>
      </c>
      <c r="E167">
        <v>1963692</v>
      </c>
      <c r="F167" t="s">
        <v>7</v>
      </c>
    </row>
    <row r="168" spans="1:7" hidden="1" x14ac:dyDescent="0.25">
      <c r="A168" t="s">
        <v>33</v>
      </c>
      <c r="B168">
        <v>31</v>
      </c>
      <c r="C168">
        <v>2022</v>
      </c>
      <c r="D168" t="s">
        <v>7</v>
      </c>
      <c r="E168">
        <v>1967923</v>
      </c>
      <c r="F168" t="s">
        <v>7</v>
      </c>
    </row>
    <row r="169" spans="1:7" x14ac:dyDescent="0.25">
      <c r="A169" t="s">
        <v>33</v>
      </c>
      <c r="B169">
        <v>31</v>
      </c>
      <c r="C169">
        <v>2023</v>
      </c>
      <c r="D169" t="s">
        <v>7</v>
      </c>
      <c r="E169">
        <v>1978379</v>
      </c>
      <c r="F169" t="s">
        <v>7</v>
      </c>
    </row>
    <row r="170" spans="1:7" hidden="1" x14ac:dyDescent="0.25">
      <c r="A170" t="s">
        <v>34</v>
      </c>
      <c r="B170">
        <v>32</v>
      </c>
      <c r="C170">
        <v>2018</v>
      </c>
      <c r="D170" t="s">
        <v>7</v>
      </c>
      <c r="E170">
        <v>3034392</v>
      </c>
      <c r="F170" t="s">
        <v>7</v>
      </c>
    </row>
    <row r="171" spans="1:7" hidden="1" x14ac:dyDescent="0.25">
      <c r="A171" t="s">
        <v>34</v>
      </c>
      <c r="B171">
        <v>32</v>
      </c>
      <c r="C171">
        <v>2019</v>
      </c>
      <c r="D171" t="s">
        <v>7</v>
      </c>
      <c r="E171">
        <v>3080156</v>
      </c>
      <c r="F171" t="s">
        <v>7</v>
      </c>
    </row>
    <row r="172" spans="1:7" hidden="1" x14ac:dyDescent="0.25">
      <c r="A172" t="s">
        <v>34</v>
      </c>
      <c r="B172">
        <v>32</v>
      </c>
      <c r="C172">
        <v>2020</v>
      </c>
      <c r="D172" t="s">
        <v>7</v>
      </c>
      <c r="E172">
        <v>3138259</v>
      </c>
      <c r="F172" t="s">
        <v>7</v>
      </c>
    </row>
    <row r="173" spans="1:7" hidden="1" x14ac:dyDescent="0.25">
      <c r="A173" t="s">
        <v>34</v>
      </c>
      <c r="B173">
        <v>32</v>
      </c>
      <c r="C173">
        <v>2021</v>
      </c>
      <c r="D173">
        <v>10</v>
      </c>
      <c r="E173">
        <v>3143991</v>
      </c>
      <c r="F173">
        <v>0.3</v>
      </c>
      <c r="G173" t="s">
        <v>5</v>
      </c>
    </row>
    <row r="174" spans="1:7" hidden="1" x14ac:dyDescent="0.25">
      <c r="A174" t="s">
        <v>34</v>
      </c>
      <c r="B174">
        <v>32</v>
      </c>
      <c r="C174">
        <v>2022</v>
      </c>
      <c r="D174" t="s">
        <v>7</v>
      </c>
      <c r="E174">
        <v>3177772</v>
      </c>
      <c r="F174" t="s">
        <v>7</v>
      </c>
    </row>
    <row r="175" spans="1:7" x14ac:dyDescent="0.25">
      <c r="A175" t="s">
        <v>34</v>
      </c>
      <c r="B175">
        <v>32</v>
      </c>
      <c r="C175">
        <v>2023</v>
      </c>
      <c r="D175" t="s">
        <v>7</v>
      </c>
      <c r="E175">
        <v>3194176</v>
      </c>
      <c r="F175" t="s">
        <v>7</v>
      </c>
    </row>
    <row r="176" spans="1:7" hidden="1" x14ac:dyDescent="0.25">
      <c r="A176" t="s">
        <v>35</v>
      </c>
      <c r="B176">
        <v>33</v>
      </c>
      <c r="C176">
        <v>2018</v>
      </c>
      <c r="D176">
        <v>0</v>
      </c>
      <c r="E176">
        <v>1356458</v>
      </c>
      <c r="F176">
        <v>0</v>
      </c>
      <c r="G176" t="s">
        <v>5</v>
      </c>
    </row>
    <row r="177" spans="1:7" hidden="1" x14ac:dyDescent="0.25">
      <c r="A177" t="s">
        <v>35</v>
      </c>
      <c r="B177">
        <v>33</v>
      </c>
      <c r="C177">
        <v>2019</v>
      </c>
      <c r="D177">
        <v>0</v>
      </c>
      <c r="E177">
        <v>1359711</v>
      </c>
      <c r="F177">
        <v>0</v>
      </c>
      <c r="G177" t="s">
        <v>5</v>
      </c>
    </row>
    <row r="178" spans="1:7" hidden="1" x14ac:dyDescent="0.25">
      <c r="A178" t="s">
        <v>35</v>
      </c>
      <c r="B178">
        <v>33</v>
      </c>
      <c r="C178">
        <v>2020</v>
      </c>
      <c r="D178" t="s">
        <v>7</v>
      </c>
      <c r="E178">
        <v>1366275</v>
      </c>
      <c r="F178" t="s">
        <v>7</v>
      </c>
    </row>
    <row r="179" spans="1:7" hidden="1" x14ac:dyDescent="0.25">
      <c r="A179" t="s">
        <v>35</v>
      </c>
      <c r="B179">
        <v>33</v>
      </c>
      <c r="C179">
        <v>2021</v>
      </c>
      <c r="D179" t="s">
        <v>7</v>
      </c>
      <c r="E179">
        <v>1388992</v>
      </c>
      <c r="F179" t="s">
        <v>7</v>
      </c>
    </row>
    <row r="180" spans="1:7" hidden="1" x14ac:dyDescent="0.25">
      <c r="A180" t="s">
        <v>35</v>
      </c>
      <c r="B180">
        <v>33</v>
      </c>
      <c r="C180">
        <v>2022</v>
      </c>
      <c r="D180" t="s">
        <v>7</v>
      </c>
      <c r="E180">
        <v>1395231</v>
      </c>
      <c r="F180" t="s">
        <v>7</v>
      </c>
    </row>
    <row r="181" spans="1:7" x14ac:dyDescent="0.25">
      <c r="A181" t="s">
        <v>35</v>
      </c>
      <c r="B181">
        <v>33</v>
      </c>
      <c r="C181">
        <v>2023</v>
      </c>
      <c r="D181" t="s">
        <v>7</v>
      </c>
      <c r="E181">
        <v>1402054</v>
      </c>
      <c r="F181" t="s">
        <v>7</v>
      </c>
    </row>
    <row r="182" spans="1:7" hidden="1" x14ac:dyDescent="0.25">
      <c r="A182" t="s">
        <v>36</v>
      </c>
      <c r="B182">
        <v>34</v>
      </c>
      <c r="C182">
        <v>2018</v>
      </c>
      <c r="D182">
        <v>27</v>
      </c>
      <c r="E182">
        <v>8908520</v>
      </c>
      <c r="F182">
        <v>0.3</v>
      </c>
    </row>
    <row r="183" spans="1:7" hidden="1" x14ac:dyDescent="0.25">
      <c r="A183" t="s">
        <v>36</v>
      </c>
      <c r="B183">
        <v>34</v>
      </c>
      <c r="C183">
        <v>2019</v>
      </c>
      <c r="D183">
        <v>18</v>
      </c>
      <c r="E183">
        <v>8882190</v>
      </c>
      <c r="F183">
        <v>0.2</v>
      </c>
      <c r="G183" t="s">
        <v>5</v>
      </c>
    </row>
    <row r="184" spans="1:7" hidden="1" x14ac:dyDescent="0.25">
      <c r="A184" t="s">
        <v>36</v>
      </c>
      <c r="B184">
        <v>34</v>
      </c>
      <c r="C184">
        <v>2020</v>
      </c>
      <c r="D184">
        <v>27</v>
      </c>
      <c r="E184">
        <v>8882371</v>
      </c>
      <c r="F184">
        <v>0.3</v>
      </c>
    </row>
    <row r="185" spans="1:7" hidden="1" x14ac:dyDescent="0.25">
      <c r="A185" t="s">
        <v>36</v>
      </c>
      <c r="B185">
        <v>34</v>
      </c>
      <c r="C185">
        <v>2021</v>
      </c>
      <c r="D185">
        <v>31</v>
      </c>
      <c r="E185">
        <v>9267130</v>
      </c>
      <c r="F185">
        <v>0.3</v>
      </c>
    </row>
    <row r="186" spans="1:7" hidden="1" x14ac:dyDescent="0.25">
      <c r="A186" t="s">
        <v>36</v>
      </c>
      <c r="B186">
        <v>34</v>
      </c>
      <c r="C186">
        <v>2022</v>
      </c>
      <c r="D186">
        <v>28</v>
      </c>
      <c r="E186">
        <v>9261699</v>
      </c>
      <c r="F186">
        <v>0.3</v>
      </c>
    </row>
    <row r="187" spans="1:7" x14ac:dyDescent="0.25">
      <c r="A187" t="s">
        <v>36</v>
      </c>
      <c r="B187">
        <v>34</v>
      </c>
      <c r="C187">
        <v>2023</v>
      </c>
      <c r="D187">
        <v>16</v>
      </c>
      <c r="E187">
        <v>9290841</v>
      </c>
      <c r="F187">
        <v>0.2</v>
      </c>
      <c r="G187" t="s">
        <v>5</v>
      </c>
    </row>
    <row r="188" spans="1:7" hidden="1" x14ac:dyDescent="0.25">
      <c r="A188" t="s">
        <v>37</v>
      </c>
      <c r="B188">
        <v>35</v>
      </c>
      <c r="C188">
        <v>2018</v>
      </c>
      <c r="D188" t="s">
        <v>7</v>
      </c>
      <c r="E188">
        <v>2095428</v>
      </c>
      <c r="F188" t="s">
        <v>7</v>
      </c>
    </row>
    <row r="189" spans="1:7" hidden="1" x14ac:dyDescent="0.25">
      <c r="A189" t="s">
        <v>37</v>
      </c>
      <c r="B189">
        <v>35</v>
      </c>
      <c r="C189">
        <v>2019</v>
      </c>
      <c r="D189" t="s">
        <v>7</v>
      </c>
      <c r="E189">
        <v>2096829</v>
      </c>
      <c r="F189" t="s">
        <v>7</v>
      </c>
    </row>
    <row r="190" spans="1:7" hidden="1" x14ac:dyDescent="0.25">
      <c r="A190" t="s">
        <v>37</v>
      </c>
      <c r="B190">
        <v>35</v>
      </c>
      <c r="C190">
        <v>2020</v>
      </c>
      <c r="D190" t="s">
        <v>7</v>
      </c>
      <c r="E190">
        <v>2106319</v>
      </c>
      <c r="F190" t="s">
        <v>7</v>
      </c>
    </row>
    <row r="191" spans="1:7" hidden="1" x14ac:dyDescent="0.25">
      <c r="A191" t="s">
        <v>37</v>
      </c>
      <c r="B191">
        <v>35</v>
      </c>
      <c r="C191">
        <v>2021</v>
      </c>
      <c r="D191">
        <v>17</v>
      </c>
      <c r="E191">
        <v>2115877</v>
      </c>
      <c r="F191">
        <v>0.8</v>
      </c>
      <c r="G191" t="s">
        <v>5</v>
      </c>
    </row>
    <row r="192" spans="1:7" hidden="1" x14ac:dyDescent="0.25">
      <c r="A192" t="s">
        <v>37</v>
      </c>
      <c r="B192">
        <v>35</v>
      </c>
      <c r="C192">
        <v>2022</v>
      </c>
      <c r="D192" t="s">
        <v>7</v>
      </c>
      <c r="E192">
        <v>2113344</v>
      </c>
      <c r="F192" t="s">
        <v>7</v>
      </c>
    </row>
    <row r="193" spans="1:7" x14ac:dyDescent="0.25">
      <c r="A193" t="s">
        <v>37</v>
      </c>
      <c r="B193">
        <v>35</v>
      </c>
      <c r="C193">
        <v>2023</v>
      </c>
      <c r="D193" t="s">
        <v>7</v>
      </c>
      <c r="E193">
        <v>2114371</v>
      </c>
      <c r="F193" t="s">
        <v>7</v>
      </c>
    </row>
    <row r="194" spans="1:7" hidden="1" x14ac:dyDescent="0.25">
      <c r="A194" t="s">
        <v>38</v>
      </c>
      <c r="B194">
        <v>36</v>
      </c>
      <c r="C194">
        <v>2018</v>
      </c>
      <c r="D194">
        <v>47</v>
      </c>
      <c r="E194">
        <v>19542209</v>
      </c>
      <c r="F194">
        <v>0.2</v>
      </c>
    </row>
    <row r="195" spans="1:7" hidden="1" x14ac:dyDescent="0.25">
      <c r="A195" t="s">
        <v>38</v>
      </c>
      <c r="B195">
        <v>36</v>
      </c>
      <c r="C195">
        <v>2019</v>
      </c>
      <c r="D195">
        <v>49</v>
      </c>
      <c r="E195">
        <v>19453561</v>
      </c>
      <c r="F195">
        <v>0.3</v>
      </c>
    </row>
    <row r="196" spans="1:7" hidden="1" x14ac:dyDescent="0.25">
      <c r="A196" t="s">
        <v>38</v>
      </c>
      <c r="B196">
        <v>36</v>
      </c>
      <c r="C196">
        <v>2020</v>
      </c>
      <c r="D196">
        <v>37</v>
      </c>
      <c r="E196">
        <v>19336776</v>
      </c>
      <c r="F196">
        <v>0.2</v>
      </c>
    </row>
    <row r="197" spans="1:7" hidden="1" x14ac:dyDescent="0.25">
      <c r="A197" t="s">
        <v>38</v>
      </c>
      <c r="B197">
        <v>36</v>
      </c>
      <c r="C197">
        <v>2021</v>
      </c>
      <c r="D197">
        <v>55</v>
      </c>
      <c r="E197">
        <v>19835913</v>
      </c>
      <c r="F197">
        <v>0.3</v>
      </c>
    </row>
    <row r="198" spans="1:7" hidden="1" x14ac:dyDescent="0.25">
      <c r="A198" t="s">
        <v>38</v>
      </c>
      <c r="B198">
        <v>36</v>
      </c>
      <c r="C198">
        <v>2022</v>
      </c>
      <c r="D198">
        <v>53</v>
      </c>
      <c r="E198">
        <v>19677151</v>
      </c>
      <c r="F198">
        <v>0.3</v>
      </c>
    </row>
    <row r="199" spans="1:7" x14ac:dyDescent="0.25">
      <c r="A199" t="s">
        <v>38</v>
      </c>
      <c r="B199">
        <v>36</v>
      </c>
      <c r="C199">
        <v>2023</v>
      </c>
      <c r="D199">
        <v>36</v>
      </c>
      <c r="E199">
        <v>19571216</v>
      </c>
      <c r="F199">
        <v>0.2</v>
      </c>
    </row>
    <row r="200" spans="1:7" hidden="1" x14ac:dyDescent="0.25">
      <c r="A200" t="s">
        <v>39</v>
      </c>
      <c r="B200">
        <v>37</v>
      </c>
      <c r="C200">
        <v>2018</v>
      </c>
      <c r="D200">
        <v>13</v>
      </c>
      <c r="E200">
        <v>10383620</v>
      </c>
      <c r="F200">
        <v>0.1</v>
      </c>
      <c r="G200" t="s">
        <v>5</v>
      </c>
    </row>
    <row r="201" spans="1:7" hidden="1" x14ac:dyDescent="0.25">
      <c r="A201" t="s">
        <v>39</v>
      </c>
      <c r="B201">
        <v>37</v>
      </c>
      <c r="C201">
        <v>2019</v>
      </c>
      <c r="D201">
        <v>26</v>
      </c>
      <c r="E201">
        <v>10488084</v>
      </c>
      <c r="F201">
        <v>0.2</v>
      </c>
    </row>
    <row r="202" spans="1:7" hidden="1" x14ac:dyDescent="0.25">
      <c r="A202" t="s">
        <v>39</v>
      </c>
      <c r="B202">
        <v>37</v>
      </c>
      <c r="C202">
        <v>2020</v>
      </c>
      <c r="D202">
        <v>34</v>
      </c>
      <c r="E202">
        <v>10600823</v>
      </c>
      <c r="F202">
        <v>0.3</v>
      </c>
    </row>
    <row r="203" spans="1:7" hidden="1" x14ac:dyDescent="0.25">
      <c r="A203" t="s">
        <v>39</v>
      </c>
      <c r="B203">
        <v>37</v>
      </c>
      <c r="C203">
        <v>2021</v>
      </c>
      <c r="D203">
        <v>53</v>
      </c>
      <c r="E203">
        <v>10551162</v>
      </c>
      <c r="F203">
        <v>0.5</v>
      </c>
    </row>
    <row r="204" spans="1:7" hidden="1" x14ac:dyDescent="0.25">
      <c r="A204" t="s">
        <v>39</v>
      </c>
      <c r="B204">
        <v>37</v>
      </c>
      <c r="C204">
        <v>2022</v>
      </c>
      <c r="D204">
        <v>33</v>
      </c>
      <c r="E204">
        <v>10698973</v>
      </c>
      <c r="F204">
        <v>0.3</v>
      </c>
    </row>
    <row r="205" spans="1:7" x14ac:dyDescent="0.25">
      <c r="A205" t="s">
        <v>39</v>
      </c>
      <c r="B205">
        <v>37</v>
      </c>
      <c r="C205">
        <v>2023</v>
      </c>
      <c r="D205">
        <v>32</v>
      </c>
      <c r="E205">
        <v>10835491</v>
      </c>
      <c r="F205">
        <v>0.3</v>
      </c>
    </row>
    <row r="206" spans="1:7" hidden="1" x14ac:dyDescent="0.25">
      <c r="A206" t="s">
        <v>40</v>
      </c>
      <c r="B206">
        <v>38</v>
      </c>
      <c r="C206">
        <v>2018</v>
      </c>
      <c r="D206">
        <v>0</v>
      </c>
      <c r="E206">
        <v>760077</v>
      </c>
      <c r="F206">
        <v>0</v>
      </c>
      <c r="G206" t="s">
        <v>5</v>
      </c>
    </row>
    <row r="207" spans="1:7" hidden="1" x14ac:dyDescent="0.25">
      <c r="A207" t="s">
        <v>40</v>
      </c>
      <c r="B207">
        <v>38</v>
      </c>
      <c r="C207">
        <v>2019</v>
      </c>
      <c r="D207" t="s">
        <v>7</v>
      </c>
      <c r="E207">
        <v>762062</v>
      </c>
      <c r="F207" t="s">
        <v>7</v>
      </c>
    </row>
    <row r="208" spans="1:7" hidden="1" x14ac:dyDescent="0.25">
      <c r="A208" t="s">
        <v>40</v>
      </c>
      <c r="B208">
        <v>38</v>
      </c>
      <c r="C208">
        <v>2020</v>
      </c>
      <c r="D208" t="s">
        <v>7</v>
      </c>
      <c r="E208">
        <v>765309</v>
      </c>
      <c r="F208" t="s">
        <v>7</v>
      </c>
    </row>
    <row r="209" spans="1:7" hidden="1" x14ac:dyDescent="0.25">
      <c r="A209" t="s">
        <v>40</v>
      </c>
      <c r="B209">
        <v>38</v>
      </c>
      <c r="C209">
        <v>2021</v>
      </c>
      <c r="D209" t="s">
        <v>7</v>
      </c>
      <c r="E209">
        <v>774948</v>
      </c>
      <c r="F209" t="s">
        <v>7</v>
      </c>
    </row>
    <row r="210" spans="1:7" hidden="1" x14ac:dyDescent="0.25">
      <c r="A210" t="s">
        <v>40</v>
      </c>
      <c r="B210">
        <v>38</v>
      </c>
      <c r="C210">
        <v>2022</v>
      </c>
      <c r="D210" t="s">
        <v>7</v>
      </c>
      <c r="E210">
        <v>779261</v>
      </c>
      <c r="F210" t="s">
        <v>7</v>
      </c>
    </row>
    <row r="211" spans="1:7" x14ac:dyDescent="0.25">
      <c r="A211" t="s">
        <v>40</v>
      </c>
      <c r="B211">
        <v>38</v>
      </c>
      <c r="C211">
        <v>2023</v>
      </c>
      <c r="D211" t="s">
        <v>7</v>
      </c>
      <c r="E211">
        <v>783926</v>
      </c>
      <c r="F211" t="s">
        <v>7</v>
      </c>
    </row>
    <row r="212" spans="1:7" hidden="1" x14ac:dyDescent="0.25">
      <c r="A212" t="s">
        <v>41</v>
      </c>
      <c r="B212">
        <v>39</v>
      </c>
      <c r="C212">
        <v>2018</v>
      </c>
      <c r="D212">
        <v>19</v>
      </c>
      <c r="E212">
        <v>11689442</v>
      </c>
      <c r="F212">
        <v>0.2</v>
      </c>
      <c r="G212" t="s">
        <v>5</v>
      </c>
    </row>
    <row r="213" spans="1:7" hidden="1" x14ac:dyDescent="0.25">
      <c r="A213" t="s">
        <v>41</v>
      </c>
      <c r="B213">
        <v>39</v>
      </c>
      <c r="C213">
        <v>2019</v>
      </c>
      <c r="D213">
        <v>32</v>
      </c>
      <c r="E213">
        <v>11689100</v>
      </c>
      <c r="F213">
        <v>0.3</v>
      </c>
    </row>
    <row r="214" spans="1:7" hidden="1" x14ac:dyDescent="0.25">
      <c r="A214" t="s">
        <v>41</v>
      </c>
      <c r="B214">
        <v>39</v>
      </c>
      <c r="C214">
        <v>2020</v>
      </c>
      <c r="D214">
        <v>34</v>
      </c>
      <c r="E214">
        <v>11693217</v>
      </c>
      <c r="F214">
        <v>0.3</v>
      </c>
    </row>
    <row r="215" spans="1:7" hidden="1" x14ac:dyDescent="0.25">
      <c r="A215" t="s">
        <v>41</v>
      </c>
      <c r="B215">
        <v>39</v>
      </c>
      <c r="C215">
        <v>2021</v>
      </c>
      <c r="D215">
        <v>41</v>
      </c>
      <c r="E215">
        <v>11780017</v>
      </c>
      <c r="F215">
        <v>0.3</v>
      </c>
    </row>
    <row r="216" spans="1:7" hidden="1" x14ac:dyDescent="0.25">
      <c r="A216" t="s">
        <v>41</v>
      </c>
      <c r="B216">
        <v>39</v>
      </c>
      <c r="C216">
        <v>2022</v>
      </c>
      <c r="D216">
        <v>35</v>
      </c>
      <c r="E216">
        <v>11756058</v>
      </c>
      <c r="F216">
        <v>0.3</v>
      </c>
    </row>
    <row r="217" spans="1:7" x14ac:dyDescent="0.25">
      <c r="A217" t="s">
        <v>41</v>
      </c>
      <c r="B217">
        <v>39</v>
      </c>
      <c r="C217">
        <v>2023</v>
      </c>
      <c r="D217">
        <v>23</v>
      </c>
      <c r="E217">
        <v>11785935</v>
      </c>
      <c r="F217">
        <v>0.2</v>
      </c>
    </row>
    <row r="218" spans="1:7" hidden="1" x14ac:dyDescent="0.25">
      <c r="A218" t="s">
        <v>42</v>
      </c>
      <c r="B218">
        <v>40</v>
      </c>
      <c r="C218">
        <v>2018</v>
      </c>
      <c r="D218">
        <v>15</v>
      </c>
      <c r="E218">
        <v>3943079</v>
      </c>
      <c r="F218">
        <v>0.4</v>
      </c>
      <c r="G218" t="s">
        <v>5</v>
      </c>
    </row>
    <row r="219" spans="1:7" hidden="1" x14ac:dyDescent="0.25">
      <c r="A219" t="s">
        <v>42</v>
      </c>
      <c r="B219">
        <v>40</v>
      </c>
      <c r="C219">
        <v>2019</v>
      </c>
      <c r="D219">
        <v>11</v>
      </c>
      <c r="E219">
        <v>3956971</v>
      </c>
      <c r="F219">
        <v>0.3</v>
      </c>
      <c r="G219" t="s">
        <v>5</v>
      </c>
    </row>
    <row r="220" spans="1:7" hidden="1" x14ac:dyDescent="0.25">
      <c r="A220" t="s">
        <v>42</v>
      </c>
      <c r="B220">
        <v>40</v>
      </c>
      <c r="C220">
        <v>2020</v>
      </c>
      <c r="D220">
        <v>10</v>
      </c>
      <c r="E220">
        <v>3980783</v>
      </c>
      <c r="F220">
        <v>0.3</v>
      </c>
      <c r="G220" t="s">
        <v>5</v>
      </c>
    </row>
    <row r="221" spans="1:7" hidden="1" x14ac:dyDescent="0.25">
      <c r="A221" t="s">
        <v>42</v>
      </c>
      <c r="B221">
        <v>40</v>
      </c>
      <c r="C221">
        <v>2021</v>
      </c>
      <c r="D221">
        <v>23</v>
      </c>
      <c r="E221">
        <v>3986639</v>
      </c>
      <c r="F221">
        <v>0.6</v>
      </c>
    </row>
    <row r="222" spans="1:7" hidden="1" x14ac:dyDescent="0.25">
      <c r="A222" t="s">
        <v>42</v>
      </c>
      <c r="B222">
        <v>40</v>
      </c>
      <c r="C222">
        <v>2022</v>
      </c>
      <c r="D222">
        <v>13</v>
      </c>
      <c r="E222">
        <v>4019800</v>
      </c>
      <c r="F222">
        <v>0.3</v>
      </c>
      <c r="G222" t="s">
        <v>5</v>
      </c>
    </row>
    <row r="223" spans="1:7" x14ac:dyDescent="0.25">
      <c r="A223" t="s">
        <v>42</v>
      </c>
      <c r="B223">
        <v>40</v>
      </c>
      <c r="C223">
        <v>2023</v>
      </c>
      <c r="D223" t="s">
        <v>7</v>
      </c>
      <c r="E223">
        <v>4053824</v>
      </c>
      <c r="F223" t="s">
        <v>7</v>
      </c>
    </row>
    <row r="224" spans="1:7" hidden="1" x14ac:dyDescent="0.25">
      <c r="A224" t="s">
        <v>43</v>
      </c>
      <c r="B224">
        <v>41</v>
      </c>
      <c r="C224">
        <v>2018</v>
      </c>
      <c r="D224" t="s">
        <v>7</v>
      </c>
      <c r="E224">
        <v>4190713</v>
      </c>
      <c r="F224" t="s">
        <v>7</v>
      </c>
    </row>
    <row r="225" spans="1:7" hidden="1" x14ac:dyDescent="0.25">
      <c r="A225" t="s">
        <v>43</v>
      </c>
      <c r="B225">
        <v>41</v>
      </c>
      <c r="C225">
        <v>2019</v>
      </c>
      <c r="D225" t="s">
        <v>7</v>
      </c>
      <c r="E225">
        <v>4217737</v>
      </c>
      <c r="F225" t="s">
        <v>7</v>
      </c>
    </row>
    <row r="226" spans="1:7" hidden="1" x14ac:dyDescent="0.25">
      <c r="A226" t="s">
        <v>43</v>
      </c>
      <c r="B226">
        <v>41</v>
      </c>
      <c r="C226">
        <v>2020</v>
      </c>
      <c r="D226">
        <v>13</v>
      </c>
      <c r="E226">
        <v>4241507</v>
      </c>
      <c r="F226">
        <v>0.3</v>
      </c>
      <c r="G226" t="s">
        <v>5</v>
      </c>
    </row>
    <row r="227" spans="1:7" hidden="1" x14ac:dyDescent="0.25">
      <c r="A227" t="s">
        <v>43</v>
      </c>
      <c r="B227">
        <v>41</v>
      </c>
      <c r="C227">
        <v>2021</v>
      </c>
      <c r="D227" t="s">
        <v>7</v>
      </c>
      <c r="E227">
        <v>4246155</v>
      </c>
      <c r="F227" t="s">
        <v>7</v>
      </c>
    </row>
    <row r="228" spans="1:7" hidden="1" x14ac:dyDescent="0.25">
      <c r="A228" t="s">
        <v>43</v>
      </c>
      <c r="B228">
        <v>41</v>
      </c>
      <c r="C228">
        <v>2022</v>
      </c>
      <c r="D228" t="s">
        <v>7</v>
      </c>
      <c r="E228">
        <v>4240137</v>
      </c>
      <c r="F228" t="s">
        <v>7</v>
      </c>
    </row>
    <row r="229" spans="1:7" x14ac:dyDescent="0.25">
      <c r="A229" t="s">
        <v>43</v>
      </c>
      <c r="B229">
        <v>41</v>
      </c>
      <c r="C229">
        <v>2023</v>
      </c>
      <c r="D229" t="s">
        <v>7</v>
      </c>
      <c r="E229">
        <v>4233358</v>
      </c>
      <c r="F229" t="s">
        <v>7</v>
      </c>
    </row>
    <row r="230" spans="1:7" hidden="1" x14ac:dyDescent="0.25">
      <c r="A230" t="s">
        <v>44</v>
      </c>
      <c r="B230">
        <v>42</v>
      </c>
      <c r="C230">
        <v>2018</v>
      </c>
      <c r="D230">
        <v>19</v>
      </c>
      <c r="E230">
        <v>12807060</v>
      </c>
      <c r="F230">
        <v>0.1</v>
      </c>
      <c r="G230" t="s">
        <v>5</v>
      </c>
    </row>
    <row r="231" spans="1:7" hidden="1" x14ac:dyDescent="0.25">
      <c r="A231" t="s">
        <v>44</v>
      </c>
      <c r="B231">
        <v>42</v>
      </c>
      <c r="C231">
        <v>2019</v>
      </c>
      <c r="D231">
        <v>25</v>
      </c>
      <c r="E231">
        <v>12801989</v>
      </c>
      <c r="F231">
        <v>0.2</v>
      </c>
    </row>
    <row r="232" spans="1:7" hidden="1" x14ac:dyDescent="0.25">
      <c r="A232" t="s">
        <v>44</v>
      </c>
      <c r="B232">
        <v>42</v>
      </c>
      <c r="C232">
        <v>2020</v>
      </c>
      <c r="D232">
        <v>16</v>
      </c>
      <c r="E232">
        <v>12783254</v>
      </c>
      <c r="F232">
        <v>0.1</v>
      </c>
      <c r="G232" t="s">
        <v>5</v>
      </c>
    </row>
    <row r="233" spans="1:7" hidden="1" x14ac:dyDescent="0.25">
      <c r="A233" t="s">
        <v>44</v>
      </c>
      <c r="B233">
        <v>42</v>
      </c>
      <c r="C233">
        <v>2021</v>
      </c>
      <c r="D233">
        <v>29</v>
      </c>
      <c r="E233">
        <v>12964056</v>
      </c>
      <c r="F233">
        <v>0.2</v>
      </c>
    </row>
    <row r="234" spans="1:7" hidden="1" x14ac:dyDescent="0.25">
      <c r="A234" t="s">
        <v>44</v>
      </c>
      <c r="B234">
        <v>42</v>
      </c>
      <c r="C234">
        <v>2022</v>
      </c>
      <c r="D234">
        <v>27</v>
      </c>
      <c r="E234">
        <v>12972008</v>
      </c>
      <c r="F234">
        <v>0.2</v>
      </c>
    </row>
    <row r="235" spans="1:7" x14ac:dyDescent="0.25">
      <c r="A235" t="s">
        <v>44</v>
      </c>
      <c r="B235">
        <v>42</v>
      </c>
      <c r="C235">
        <v>2023</v>
      </c>
      <c r="D235">
        <v>19</v>
      </c>
      <c r="E235">
        <v>12961683</v>
      </c>
      <c r="F235">
        <v>0.1</v>
      </c>
      <c r="G235" t="s">
        <v>5</v>
      </c>
    </row>
    <row r="236" spans="1:7" hidden="1" x14ac:dyDescent="0.25">
      <c r="A236" t="s">
        <v>45</v>
      </c>
      <c r="B236">
        <v>44</v>
      </c>
      <c r="C236">
        <v>2018</v>
      </c>
      <c r="D236" t="s">
        <v>7</v>
      </c>
      <c r="E236">
        <v>1057315</v>
      </c>
      <c r="F236" t="s">
        <v>7</v>
      </c>
    </row>
    <row r="237" spans="1:7" hidden="1" x14ac:dyDescent="0.25">
      <c r="A237" t="s">
        <v>45</v>
      </c>
      <c r="B237">
        <v>44</v>
      </c>
      <c r="C237">
        <v>2019</v>
      </c>
      <c r="D237" t="s">
        <v>7</v>
      </c>
      <c r="E237">
        <v>1059361</v>
      </c>
      <c r="F237" t="s">
        <v>7</v>
      </c>
    </row>
    <row r="238" spans="1:7" hidden="1" x14ac:dyDescent="0.25">
      <c r="A238" t="s">
        <v>45</v>
      </c>
      <c r="B238">
        <v>44</v>
      </c>
      <c r="C238">
        <v>2020</v>
      </c>
      <c r="D238" t="s">
        <v>7</v>
      </c>
      <c r="E238">
        <v>1057125</v>
      </c>
      <c r="F238" t="s">
        <v>7</v>
      </c>
    </row>
    <row r="239" spans="1:7" hidden="1" x14ac:dyDescent="0.25">
      <c r="A239" t="s">
        <v>45</v>
      </c>
      <c r="B239">
        <v>44</v>
      </c>
      <c r="C239">
        <v>2021</v>
      </c>
      <c r="D239" t="s">
        <v>7</v>
      </c>
      <c r="E239">
        <v>1095610</v>
      </c>
      <c r="F239" t="s">
        <v>7</v>
      </c>
    </row>
    <row r="240" spans="1:7" hidden="1" x14ac:dyDescent="0.25">
      <c r="A240" t="s">
        <v>45</v>
      </c>
      <c r="B240">
        <v>44</v>
      </c>
      <c r="C240">
        <v>2022</v>
      </c>
      <c r="D240" t="s">
        <v>7</v>
      </c>
      <c r="E240">
        <v>1093734</v>
      </c>
      <c r="F240" t="s">
        <v>7</v>
      </c>
    </row>
    <row r="241" spans="1:7" x14ac:dyDescent="0.25">
      <c r="A241" t="s">
        <v>45</v>
      </c>
      <c r="B241">
        <v>44</v>
      </c>
      <c r="C241">
        <v>2023</v>
      </c>
      <c r="D241" t="s">
        <v>7</v>
      </c>
      <c r="E241">
        <v>1095962</v>
      </c>
      <c r="F241" t="s">
        <v>7</v>
      </c>
    </row>
    <row r="242" spans="1:7" hidden="1" x14ac:dyDescent="0.25">
      <c r="A242" t="s">
        <v>46</v>
      </c>
      <c r="B242">
        <v>45</v>
      </c>
      <c r="C242">
        <v>2018</v>
      </c>
      <c r="D242">
        <v>14</v>
      </c>
      <c r="E242">
        <v>5084127</v>
      </c>
      <c r="F242">
        <v>0.3</v>
      </c>
      <c r="G242" t="s">
        <v>5</v>
      </c>
    </row>
    <row r="243" spans="1:7" hidden="1" x14ac:dyDescent="0.25">
      <c r="A243" t="s">
        <v>46</v>
      </c>
      <c r="B243">
        <v>45</v>
      </c>
      <c r="C243">
        <v>2019</v>
      </c>
      <c r="D243">
        <v>17</v>
      </c>
      <c r="E243">
        <v>5148714</v>
      </c>
      <c r="F243">
        <v>0.3</v>
      </c>
      <c r="G243" t="s">
        <v>5</v>
      </c>
    </row>
    <row r="244" spans="1:7" hidden="1" x14ac:dyDescent="0.25">
      <c r="A244" t="s">
        <v>46</v>
      </c>
      <c r="B244">
        <v>45</v>
      </c>
      <c r="C244">
        <v>2020</v>
      </c>
      <c r="D244">
        <v>18</v>
      </c>
      <c r="E244">
        <v>5218040</v>
      </c>
      <c r="F244">
        <v>0.3</v>
      </c>
      <c r="G244" t="s">
        <v>5</v>
      </c>
    </row>
    <row r="245" spans="1:7" hidden="1" x14ac:dyDescent="0.25">
      <c r="A245" t="s">
        <v>46</v>
      </c>
      <c r="B245">
        <v>45</v>
      </c>
      <c r="C245">
        <v>2021</v>
      </c>
      <c r="D245">
        <v>25</v>
      </c>
      <c r="E245">
        <v>5190705</v>
      </c>
      <c r="F245">
        <v>0.5</v>
      </c>
    </row>
    <row r="246" spans="1:7" hidden="1" x14ac:dyDescent="0.25">
      <c r="A246" t="s">
        <v>46</v>
      </c>
      <c r="B246">
        <v>45</v>
      </c>
      <c r="C246">
        <v>2022</v>
      </c>
      <c r="D246">
        <v>18</v>
      </c>
      <c r="E246">
        <v>5282634</v>
      </c>
      <c r="F246">
        <v>0.3</v>
      </c>
      <c r="G246" t="s">
        <v>5</v>
      </c>
    </row>
    <row r="247" spans="1:7" x14ac:dyDescent="0.25">
      <c r="A247" t="s">
        <v>46</v>
      </c>
      <c r="B247">
        <v>45</v>
      </c>
      <c r="C247">
        <v>2023</v>
      </c>
      <c r="D247">
        <v>12</v>
      </c>
      <c r="E247">
        <v>5373555</v>
      </c>
      <c r="F247">
        <v>0.2</v>
      </c>
      <c r="G247" t="s">
        <v>5</v>
      </c>
    </row>
    <row r="248" spans="1:7" hidden="1" x14ac:dyDescent="0.25">
      <c r="A248" t="s">
        <v>47</v>
      </c>
      <c r="B248">
        <v>46</v>
      </c>
      <c r="C248">
        <v>2018</v>
      </c>
      <c r="D248" t="s">
        <v>7</v>
      </c>
      <c r="E248">
        <v>882235</v>
      </c>
      <c r="F248" t="s">
        <v>7</v>
      </c>
    </row>
    <row r="249" spans="1:7" hidden="1" x14ac:dyDescent="0.25">
      <c r="A249" t="s">
        <v>47</v>
      </c>
      <c r="B249">
        <v>46</v>
      </c>
      <c r="C249">
        <v>2019</v>
      </c>
      <c r="D249" t="s">
        <v>7</v>
      </c>
      <c r="E249">
        <v>884659</v>
      </c>
      <c r="F249" t="s">
        <v>7</v>
      </c>
    </row>
    <row r="250" spans="1:7" hidden="1" x14ac:dyDescent="0.25">
      <c r="A250" t="s">
        <v>47</v>
      </c>
      <c r="B250">
        <v>46</v>
      </c>
      <c r="C250">
        <v>2020</v>
      </c>
      <c r="D250" t="s">
        <v>7</v>
      </c>
      <c r="E250">
        <v>892717</v>
      </c>
      <c r="F250" t="s">
        <v>7</v>
      </c>
    </row>
    <row r="251" spans="1:7" hidden="1" x14ac:dyDescent="0.25">
      <c r="A251" t="s">
        <v>47</v>
      </c>
      <c r="B251">
        <v>46</v>
      </c>
      <c r="C251">
        <v>2021</v>
      </c>
      <c r="D251" t="s">
        <v>7</v>
      </c>
      <c r="E251">
        <v>895376</v>
      </c>
      <c r="F251" t="s">
        <v>7</v>
      </c>
    </row>
    <row r="252" spans="1:7" hidden="1" x14ac:dyDescent="0.25">
      <c r="A252" t="s">
        <v>47</v>
      </c>
      <c r="B252">
        <v>46</v>
      </c>
      <c r="C252">
        <v>2022</v>
      </c>
      <c r="D252" t="s">
        <v>7</v>
      </c>
      <c r="E252">
        <v>909824</v>
      </c>
      <c r="F252" t="s">
        <v>7</v>
      </c>
    </row>
    <row r="253" spans="1:7" x14ac:dyDescent="0.25">
      <c r="A253" t="s">
        <v>47</v>
      </c>
      <c r="B253">
        <v>46</v>
      </c>
      <c r="C253">
        <v>2023</v>
      </c>
      <c r="D253">
        <v>0</v>
      </c>
      <c r="E253">
        <v>919318</v>
      </c>
      <c r="F253">
        <v>0</v>
      </c>
      <c r="G253" t="s">
        <v>5</v>
      </c>
    </row>
    <row r="254" spans="1:7" hidden="1" x14ac:dyDescent="0.25">
      <c r="A254" t="s">
        <v>48</v>
      </c>
      <c r="B254">
        <v>47</v>
      </c>
      <c r="C254">
        <v>2018</v>
      </c>
      <c r="D254">
        <v>21</v>
      </c>
      <c r="E254">
        <v>6770010</v>
      </c>
      <c r="F254">
        <v>0.3</v>
      </c>
    </row>
    <row r="255" spans="1:7" hidden="1" x14ac:dyDescent="0.25">
      <c r="A255" t="s">
        <v>48</v>
      </c>
      <c r="B255">
        <v>47</v>
      </c>
      <c r="C255">
        <v>2019</v>
      </c>
      <c r="D255">
        <v>21</v>
      </c>
      <c r="E255">
        <v>6829174</v>
      </c>
      <c r="F255">
        <v>0.3</v>
      </c>
    </row>
    <row r="256" spans="1:7" hidden="1" x14ac:dyDescent="0.25">
      <c r="A256" t="s">
        <v>48</v>
      </c>
      <c r="B256">
        <v>47</v>
      </c>
      <c r="C256">
        <v>2020</v>
      </c>
      <c r="D256">
        <v>41</v>
      </c>
      <c r="E256">
        <v>6886834</v>
      </c>
      <c r="F256">
        <v>0.6</v>
      </c>
    </row>
    <row r="257" spans="1:7" hidden="1" x14ac:dyDescent="0.25">
      <c r="A257" t="s">
        <v>48</v>
      </c>
      <c r="B257">
        <v>47</v>
      </c>
      <c r="C257">
        <v>2021</v>
      </c>
      <c r="D257">
        <v>51</v>
      </c>
      <c r="E257">
        <v>6975218</v>
      </c>
      <c r="F257">
        <v>0.7</v>
      </c>
    </row>
    <row r="258" spans="1:7" hidden="1" x14ac:dyDescent="0.25">
      <c r="A258" t="s">
        <v>48</v>
      </c>
      <c r="B258">
        <v>47</v>
      </c>
      <c r="C258">
        <v>2022</v>
      </c>
      <c r="D258">
        <v>32</v>
      </c>
      <c r="E258">
        <v>7051339</v>
      </c>
      <c r="F258">
        <v>0.5</v>
      </c>
    </row>
    <row r="259" spans="1:7" x14ac:dyDescent="0.25">
      <c r="A259" t="s">
        <v>48</v>
      </c>
      <c r="B259">
        <v>47</v>
      </c>
      <c r="C259">
        <v>2023</v>
      </c>
      <c r="D259">
        <v>26</v>
      </c>
      <c r="E259">
        <v>7126489</v>
      </c>
      <c r="F259">
        <v>0.4</v>
      </c>
    </row>
    <row r="260" spans="1:7" hidden="1" x14ac:dyDescent="0.25">
      <c r="A260" t="s">
        <v>49</v>
      </c>
      <c r="B260">
        <v>48</v>
      </c>
      <c r="C260">
        <v>2018</v>
      </c>
      <c r="D260">
        <v>70</v>
      </c>
      <c r="E260">
        <v>28701845</v>
      </c>
      <c r="F260">
        <v>0.2</v>
      </c>
    </row>
    <row r="261" spans="1:7" hidden="1" x14ac:dyDescent="0.25">
      <c r="A261" t="s">
        <v>49</v>
      </c>
      <c r="B261">
        <v>48</v>
      </c>
      <c r="C261">
        <v>2019</v>
      </c>
      <c r="D261">
        <v>69</v>
      </c>
      <c r="E261">
        <v>28995881</v>
      </c>
      <c r="F261">
        <v>0.2</v>
      </c>
    </row>
    <row r="262" spans="1:7" hidden="1" x14ac:dyDescent="0.25">
      <c r="A262" t="s">
        <v>49</v>
      </c>
      <c r="B262">
        <v>48</v>
      </c>
      <c r="C262">
        <v>2020</v>
      </c>
      <c r="D262">
        <v>118</v>
      </c>
      <c r="E262">
        <v>29360759</v>
      </c>
      <c r="F262">
        <v>0.4</v>
      </c>
    </row>
    <row r="263" spans="1:7" hidden="1" x14ac:dyDescent="0.25">
      <c r="A263" t="s">
        <v>49</v>
      </c>
      <c r="B263">
        <v>48</v>
      </c>
      <c r="C263">
        <v>2021</v>
      </c>
      <c r="D263">
        <v>164</v>
      </c>
      <c r="E263">
        <v>29527941</v>
      </c>
      <c r="F263">
        <v>0.6</v>
      </c>
    </row>
    <row r="264" spans="1:7" hidden="1" x14ac:dyDescent="0.25">
      <c r="A264" t="s">
        <v>49</v>
      </c>
      <c r="B264">
        <v>48</v>
      </c>
      <c r="C264">
        <v>2022</v>
      </c>
      <c r="D264">
        <v>111</v>
      </c>
      <c r="E264">
        <v>30029572</v>
      </c>
      <c r="F264">
        <v>0.4</v>
      </c>
    </row>
    <row r="265" spans="1:7" x14ac:dyDescent="0.25">
      <c r="A265" t="s">
        <v>49</v>
      </c>
      <c r="B265">
        <v>48</v>
      </c>
      <c r="C265">
        <v>2023</v>
      </c>
      <c r="D265">
        <v>94</v>
      </c>
      <c r="E265">
        <v>30503301</v>
      </c>
      <c r="F265">
        <v>0.3</v>
      </c>
    </row>
    <row r="266" spans="1:7" hidden="1" x14ac:dyDescent="0.25">
      <c r="A266" t="s">
        <v>50</v>
      </c>
      <c r="B266">
        <v>49</v>
      </c>
      <c r="C266">
        <v>2018</v>
      </c>
      <c r="D266" t="s">
        <v>7</v>
      </c>
      <c r="E266">
        <v>3161105</v>
      </c>
      <c r="F266" t="s">
        <v>7</v>
      </c>
    </row>
    <row r="267" spans="1:7" hidden="1" x14ac:dyDescent="0.25">
      <c r="A267" t="s">
        <v>50</v>
      </c>
      <c r="B267">
        <v>49</v>
      </c>
      <c r="C267">
        <v>2019</v>
      </c>
      <c r="D267">
        <v>11</v>
      </c>
      <c r="E267">
        <v>3205958</v>
      </c>
      <c r="F267">
        <v>0.3</v>
      </c>
      <c r="G267" t="s">
        <v>5</v>
      </c>
    </row>
    <row r="268" spans="1:7" hidden="1" x14ac:dyDescent="0.25">
      <c r="A268" t="s">
        <v>50</v>
      </c>
      <c r="B268">
        <v>49</v>
      </c>
      <c r="C268">
        <v>2020</v>
      </c>
      <c r="D268" t="s">
        <v>7</v>
      </c>
      <c r="E268">
        <v>3249879</v>
      </c>
      <c r="F268" t="s">
        <v>7</v>
      </c>
    </row>
    <row r="269" spans="1:7" hidden="1" x14ac:dyDescent="0.25">
      <c r="A269" t="s">
        <v>50</v>
      </c>
      <c r="B269">
        <v>49</v>
      </c>
      <c r="C269">
        <v>2021</v>
      </c>
      <c r="D269">
        <v>13</v>
      </c>
      <c r="E269">
        <v>3337975</v>
      </c>
      <c r="F269">
        <v>0.4</v>
      </c>
      <c r="G269" t="s">
        <v>5</v>
      </c>
    </row>
    <row r="270" spans="1:7" hidden="1" x14ac:dyDescent="0.25">
      <c r="A270" t="s">
        <v>50</v>
      </c>
      <c r="B270">
        <v>49</v>
      </c>
      <c r="C270">
        <v>2022</v>
      </c>
      <c r="D270" t="s">
        <v>7</v>
      </c>
      <c r="E270">
        <v>3380800</v>
      </c>
      <c r="F270" t="s">
        <v>7</v>
      </c>
    </row>
    <row r="271" spans="1:7" x14ac:dyDescent="0.25">
      <c r="A271" t="s">
        <v>50</v>
      </c>
      <c r="B271">
        <v>49</v>
      </c>
      <c r="C271">
        <v>2023</v>
      </c>
      <c r="D271" t="s">
        <v>7</v>
      </c>
      <c r="E271">
        <v>3417734</v>
      </c>
      <c r="F271" t="s">
        <v>7</v>
      </c>
    </row>
    <row r="272" spans="1:7" hidden="1" x14ac:dyDescent="0.25">
      <c r="A272" t="s">
        <v>51</v>
      </c>
      <c r="B272">
        <v>50</v>
      </c>
      <c r="C272">
        <v>2018</v>
      </c>
      <c r="D272">
        <v>0</v>
      </c>
      <c r="E272">
        <v>626299</v>
      </c>
      <c r="F272">
        <v>0</v>
      </c>
      <c r="G272" t="s">
        <v>5</v>
      </c>
    </row>
    <row r="273" spans="1:7" hidden="1" x14ac:dyDescent="0.25">
      <c r="A273" t="s">
        <v>51</v>
      </c>
      <c r="B273">
        <v>50</v>
      </c>
      <c r="C273">
        <v>2019</v>
      </c>
      <c r="D273" t="s">
        <v>7</v>
      </c>
      <c r="E273">
        <v>623989</v>
      </c>
      <c r="F273" t="s">
        <v>7</v>
      </c>
    </row>
    <row r="274" spans="1:7" hidden="1" x14ac:dyDescent="0.25">
      <c r="A274" t="s">
        <v>51</v>
      </c>
      <c r="B274">
        <v>50</v>
      </c>
      <c r="C274">
        <v>2020</v>
      </c>
      <c r="D274">
        <v>0</v>
      </c>
      <c r="E274">
        <v>623347</v>
      </c>
      <c r="F274">
        <v>0</v>
      </c>
      <c r="G274" t="s">
        <v>5</v>
      </c>
    </row>
    <row r="275" spans="1:7" hidden="1" x14ac:dyDescent="0.25">
      <c r="A275" t="s">
        <v>51</v>
      </c>
      <c r="B275">
        <v>50</v>
      </c>
      <c r="C275">
        <v>2021</v>
      </c>
      <c r="D275">
        <v>0</v>
      </c>
      <c r="E275">
        <v>645570</v>
      </c>
      <c r="F275">
        <v>0</v>
      </c>
      <c r="G275" t="s">
        <v>5</v>
      </c>
    </row>
    <row r="276" spans="1:7" hidden="1" x14ac:dyDescent="0.25">
      <c r="A276" t="s">
        <v>51</v>
      </c>
      <c r="B276">
        <v>50</v>
      </c>
      <c r="C276">
        <v>2022</v>
      </c>
      <c r="D276">
        <v>0</v>
      </c>
      <c r="E276">
        <v>647064</v>
      </c>
      <c r="F276">
        <v>0</v>
      </c>
      <c r="G276" t="s">
        <v>5</v>
      </c>
    </row>
    <row r="277" spans="1:7" x14ac:dyDescent="0.25">
      <c r="A277" t="s">
        <v>51</v>
      </c>
      <c r="B277">
        <v>50</v>
      </c>
      <c r="C277">
        <v>2023</v>
      </c>
      <c r="D277">
        <v>0</v>
      </c>
      <c r="E277">
        <v>647464</v>
      </c>
      <c r="F277">
        <v>0</v>
      </c>
      <c r="G277" t="s">
        <v>5</v>
      </c>
    </row>
    <row r="278" spans="1:7" hidden="1" x14ac:dyDescent="0.25">
      <c r="A278" t="s">
        <v>52</v>
      </c>
      <c r="B278">
        <v>51</v>
      </c>
      <c r="C278">
        <v>2018</v>
      </c>
      <c r="D278">
        <v>16</v>
      </c>
      <c r="E278">
        <v>8517685</v>
      </c>
      <c r="F278">
        <v>0.2</v>
      </c>
      <c r="G278" t="s">
        <v>5</v>
      </c>
    </row>
    <row r="279" spans="1:7" hidden="1" x14ac:dyDescent="0.25">
      <c r="A279" t="s">
        <v>52</v>
      </c>
      <c r="B279">
        <v>51</v>
      </c>
      <c r="C279">
        <v>2019</v>
      </c>
      <c r="D279">
        <v>21</v>
      </c>
      <c r="E279">
        <v>8535519</v>
      </c>
      <c r="F279">
        <v>0.2</v>
      </c>
    </row>
    <row r="280" spans="1:7" hidden="1" x14ac:dyDescent="0.25">
      <c r="A280" t="s">
        <v>52</v>
      </c>
      <c r="B280">
        <v>51</v>
      </c>
      <c r="C280">
        <v>2020</v>
      </c>
      <c r="D280">
        <v>28</v>
      </c>
      <c r="E280">
        <v>8590563</v>
      </c>
      <c r="F280">
        <v>0.3</v>
      </c>
    </row>
    <row r="281" spans="1:7" hidden="1" x14ac:dyDescent="0.25">
      <c r="A281" t="s">
        <v>52</v>
      </c>
      <c r="B281">
        <v>51</v>
      </c>
      <c r="C281">
        <v>2021</v>
      </c>
      <c r="D281">
        <v>48</v>
      </c>
      <c r="E281">
        <v>8642274</v>
      </c>
      <c r="F281">
        <v>0.6</v>
      </c>
    </row>
    <row r="282" spans="1:7" hidden="1" x14ac:dyDescent="0.25">
      <c r="A282" t="s">
        <v>52</v>
      </c>
      <c r="B282">
        <v>51</v>
      </c>
      <c r="C282">
        <v>2022</v>
      </c>
      <c r="D282">
        <v>45</v>
      </c>
      <c r="E282">
        <v>8683619</v>
      </c>
      <c r="F282">
        <v>0.5</v>
      </c>
    </row>
    <row r="283" spans="1:7" x14ac:dyDescent="0.25">
      <c r="A283" t="s">
        <v>52</v>
      </c>
      <c r="B283">
        <v>51</v>
      </c>
      <c r="C283">
        <v>2023</v>
      </c>
      <c r="D283">
        <v>17</v>
      </c>
      <c r="E283">
        <v>8715698</v>
      </c>
      <c r="F283">
        <v>0.2</v>
      </c>
      <c r="G283" t="s">
        <v>5</v>
      </c>
    </row>
    <row r="284" spans="1:7" hidden="1" x14ac:dyDescent="0.25">
      <c r="A284" t="s">
        <v>53</v>
      </c>
      <c r="B284">
        <v>53</v>
      </c>
      <c r="C284">
        <v>2018</v>
      </c>
      <c r="D284">
        <v>13</v>
      </c>
      <c r="E284">
        <v>7535591</v>
      </c>
      <c r="F284">
        <v>0.2</v>
      </c>
      <c r="G284" t="s">
        <v>5</v>
      </c>
    </row>
    <row r="285" spans="1:7" hidden="1" x14ac:dyDescent="0.25">
      <c r="A285" t="s">
        <v>53</v>
      </c>
      <c r="B285">
        <v>53</v>
      </c>
      <c r="C285">
        <v>2019</v>
      </c>
      <c r="D285">
        <v>23</v>
      </c>
      <c r="E285">
        <v>7614893</v>
      </c>
      <c r="F285">
        <v>0.3</v>
      </c>
    </row>
    <row r="286" spans="1:7" hidden="1" x14ac:dyDescent="0.25">
      <c r="A286" t="s">
        <v>53</v>
      </c>
      <c r="B286">
        <v>53</v>
      </c>
      <c r="C286">
        <v>2020</v>
      </c>
      <c r="D286">
        <v>16</v>
      </c>
      <c r="E286">
        <v>7693612</v>
      </c>
      <c r="F286">
        <v>0.2</v>
      </c>
      <c r="G286" t="s">
        <v>5</v>
      </c>
    </row>
    <row r="287" spans="1:7" hidden="1" x14ac:dyDescent="0.25">
      <c r="A287" t="s">
        <v>53</v>
      </c>
      <c r="B287">
        <v>53</v>
      </c>
      <c r="C287">
        <v>2021</v>
      </c>
      <c r="D287">
        <v>17</v>
      </c>
      <c r="E287">
        <v>7738692</v>
      </c>
      <c r="F287">
        <v>0.2</v>
      </c>
      <c r="G287" t="s">
        <v>5</v>
      </c>
    </row>
    <row r="288" spans="1:7" hidden="1" x14ac:dyDescent="0.25">
      <c r="A288" t="s">
        <v>53</v>
      </c>
      <c r="B288">
        <v>53</v>
      </c>
      <c r="C288">
        <v>2022</v>
      </c>
      <c r="D288" t="s">
        <v>7</v>
      </c>
      <c r="E288">
        <v>7785786</v>
      </c>
      <c r="F288" t="s">
        <v>7</v>
      </c>
    </row>
    <row r="289" spans="1:7" x14ac:dyDescent="0.25">
      <c r="A289" t="s">
        <v>53</v>
      </c>
      <c r="B289">
        <v>53</v>
      </c>
      <c r="C289">
        <v>2023</v>
      </c>
      <c r="D289" t="s">
        <v>7</v>
      </c>
      <c r="E289">
        <v>7812880</v>
      </c>
      <c r="F289" t="s">
        <v>7</v>
      </c>
    </row>
    <row r="290" spans="1:7" hidden="1" x14ac:dyDescent="0.25">
      <c r="A290" t="s">
        <v>54</v>
      </c>
      <c r="B290">
        <v>54</v>
      </c>
      <c r="C290">
        <v>2018</v>
      </c>
      <c r="D290" t="s">
        <v>7</v>
      </c>
      <c r="E290">
        <v>1805832</v>
      </c>
      <c r="F290" t="s">
        <v>7</v>
      </c>
    </row>
    <row r="291" spans="1:7" hidden="1" x14ac:dyDescent="0.25">
      <c r="A291" t="s">
        <v>54</v>
      </c>
      <c r="B291">
        <v>54</v>
      </c>
      <c r="C291">
        <v>2019</v>
      </c>
      <c r="D291" t="s">
        <v>7</v>
      </c>
      <c r="E291">
        <v>1792147</v>
      </c>
      <c r="F291" t="s">
        <v>7</v>
      </c>
    </row>
    <row r="292" spans="1:7" hidden="1" x14ac:dyDescent="0.25">
      <c r="A292" t="s">
        <v>54</v>
      </c>
      <c r="B292">
        <v>54</v>
      </c>
      <c r="C292">
        <v>2020</v>
      </c>
      <c r="D292" t="s">
        <v>7</v>
      </c>
      <c r="E292">
        <v>1784787</v>
      </c>
      <c r="F292" t="s">
        <v>7</v>
      </c>
    </row>
    <row r="293" spans="1:7" hidden="1" x14ac:dyDescent="0.25">
      <c r="A293" t="s">
        <v>54</v>
      </c>
      <c r="B293">
        <v>54</v>
      </c>
      <c r="C293">
        <v>2021</v>
      </c>
      <c r="D293" t="s">
        <v>7</v>
      </c>
      <c r="E293">
        <v>1782959</v>
      </c>
      <c r="F293" t="s">
        <v>7</v>
      </c>
    </row>
    <row r="294" spans="1:7" hidden="1" x14ac:dyDescent="0.25">
      <c r="A294" t="s">
        <v>54</v>
      </c>
      <c r="B294">
        <v>54</v>
      </c>
      <c r="C294">
        <v>2022</v>
      </c>
      <c r="D294" t="s">
        <v>7</v>
      </c>
      <c r="E294">
        <v>1775156</v>
      </c>
      <c r="F294" t="s">
        <v>7</v>
      </c>
    </row>
    <row r="295" spans="1:7" x14ac:dyDescent="0.25">
      <c r="A295" t="s">
        <v>54</v>
      </c>
      <c r="B295">
        <v>54</v>
      </c>
      <c r="C295">
        <v>2023</v>
      </c>
      <c r="D295" t="s">
        <v>7</v>
      </c>
      <c r="E295">
        <v>1770071</v>
      </c>
      <c r="F295" t="s">
        <v>7</v>
      </c>
    </row>
    <row r="296" spans="1:7" hidden="1" x14ac:dyDescent="0.25">
      <c r="A296" t="s">
        <v>55</v>
      </c>
      <c r="B296">
        <v>55</v>
      </c>
      <c r="C296">
        <v>2018</v>
      </c>
      <c r="D296" t="s">
        <v>7</v>
      </c>
      <c r="E296">
        <v>5813568</v>
      </c>
      <c r="F296" t="s">
        <v>7</v>
      </c>
    </row>
    <row r="297" spans="1:7" hidden="1" x14ac:dyDescent="0.25">
      <c r="A297" t="s">
        <v>55</v>
      </c>
      <c r="B297">
        <v>55</v>
      </c>
      <c r="C297">
        <v>2019</v>
      </c>
      <c r="D297" t="s">
        <v>7</v>
      </c>
      <c r="E297">
        <v>5822434</v>
      </c>
      <c r="F297" t="s">
        <v>7</v>
      </c>
    </row>
    <row r="298" spans="1:7" hidden="1" x14ac:dyDescent="0.25">
      <c r="A298" t="s">
        <v>55</v>
      </c>
      <c r="B298">
        <v>55</v>
      </c>
      <c r="C298">
        <v>2020</v>
      </c>
      <c r="D298" t="s">
        <v>7</v>
      </c>
      <c r="E298">
        <v>5832655</v>
      </c>
      <c r="F298" t="s">
        <v>7</v>
      </c>
    </row>
    <row r="299" spans="1:7" hidden="1" x14ac:dyDescent="0.25">
      <c r="A299" t="s">
        <v>55</v>
      </c>
      <c r="B299">
        <v>55</v>
      </c>
      <c r="C299">
        <v>2021</v>
      </c>
      <c r="D299">
        <v>12</v>
      </c>
      <c r="E299">
        <v>5895908</v>
      </c>
      <c r="F299">
        <v>0.2</v>
      </c>
      <c r="G299" t="s">
        <v>5</v>
      </c>
    </row>
    <row r="300" spans="1:7" hidden="1" x14ac:dyDescent="0.25">
      <c r="A300" t="s">
        <v>55</v>
      </c>
      <c r="B300">
        <v>55</v>
      </c>
      <c r="C300">
        <v>2022</v>
      </c>
      <c r="D300">
        <v>12</v>
      </c>
      <c r="E300">
        <v>5892539</v>
      </c>
      <c r="F300">
        <v>0.2</v>
      </c>
      <c r="G300" t="s">
        <v>5</v>
      </c>
    </row>
    <row r="301" spans="1:7" x14ac:dyDescent="0.25">
      <c r="A301" t="s">
        <v>55</v>
      </c>
      <c r="B301">
        <v>55</v>
      </c>
      <c r="C301">
        <v>2023</v>
      </c>
      <c r="D301">
        <v>11</v>
      </c>
      <c r="E301">
        <v>5910955</v>
      </c>
      <c r="F301">
        <v>0.2</v>
      </c>
      <c r="G301" t="s">
        <v>5</v>
      </c>
    </row>
    <row r="302" spans="1:7" hidden="1" x14ac:dyDescent="0.25">
      <c r="A302" t="s">
        <v>56</v>
      </c>
      <c r="B302">
        <v>56</v>
      </c>
      <c r="C302">
        <v>2018</v>
      </c>
      <c r="D302" t="s">
        <v>7</v>
      </c>
      <c r="E302">
        <v>577737</v>
      </c>
      <c r="F302" t="s">
        <v>7</v>
      </c>
    </row>
    <row r="303" spans="1:7" hidden="1" x14ac:dyDescent="0.25">
      <c r="A303" t="s">
        <v>56</v>
      </c>
      <c r="B303">
        <v>56</v>
      </c>
      <c r="C303">
        <v>2019</v>
      </c>
      <c r="D303" t="s">
        <v>7</v>
      </c>
      <c r="E303">
        <v>578759</v>
      </c>
      <c r="F303" t="s">
        <v>7</v>
      </c>
    </row>
    <row r="304" spans="1:7" hidden="1" x14ac:dyDescent="0.25">
      <c r="A304" t="s">
        <v>56</v>
      </c>
      <c r="B304">
        <v>56</v>
      </c>
      <c r="C304">
        <v>2020</v>
      </c>
      <c r="D304" t="s">
        <v>7</v>
      </c>
      <c r="E304">
        <v>582328</v>
      </c>
      <c r="F304" t="s">
        <v>7</v>
      </c>
    </row>
    <row r="305" spans="1:6" hidden="1" x14ac:dyDescent="0.25">
      <c r="A305" t="s">
        <v>56</v>
      </c>
      <c r="B305">
        <v>56</v>
      </c>
      <c r="C305">
        <v>2021</v>
      </c>
      <c r="D305" t="s">
        <v>7</v>
      </c>
      <c r="E305">
        <v>578803</v>
      </c>
      <c r="F305" t="s">
        <v>7</v>
      </c>
    </row>
    <row r="306" spans="1:6" hidden="1" x14ac:dyDescent="0.25">
      <c r="A306" t="s">
        <v>56</v>
      </c>
      <c r="B306">
        <v>56</v>
      </c>
      <c r="C306">
        <v>2022</v>
      </c>
      <c r="D306" t="s">
        <v>7</v>
      </c>
      <c r="E306">
        <v>581381</v>
      </c>
      <c r="F306" t="s">
        <v>7</v>
      </c>
    </row>
    <row r="307" spans="1:6" x14ac:dyDescent="0.25">
      <c r="A307" t="s">
        <v>56</v>
      </c>
      <c r="B307">
        <v>56</v>
      </c>
      <c r="C307">
        <v>2023</v>
      </c>
      <c r="D307" t="s">
        <v>7</v>
      </c>
      <c r="E307">
        <v>584057</v>
      </c>
      <c r="F307" t="s">
        <v>7</v>
      </c>
    </row>
  </sheetData>
  <autoFilter ref="A1:G307" xr:uid="{B37327FA-1F9A-4C7D-8746-16A4FE2891C4}">
    <filterColumn colId="2">
      <filters>
        <filter val="202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7E6B-EA20-403A-8032-7DDD73489AE9}">
  <dimension ref="A1:D307"/>
  <sheetViews>
    <sheetView workbookViewId="0">
      <selection activeCell="H13" sqref="H13"/>
    </sheetView>
  </sheetViews>
  <sheetFormatPr defaultRowHeight="15" x14ac:dyDescent="0.25"/>
  <sheetData>
    <row r="1" spans="1:4" x14ac:dyDescent="0.25">
      <c r="A1" t="s">
        <v>61</v>
      </c>
      <c r="B1" t="s">
        <v>1</v>
      </c>
      <c r="C1" t="s">
        <v>2</v>
      </c>
      <c r="D1" t="s">
        <v>60</v>
      </c>
    </row>
    <row r="2" spans="1:4" x14ac:dyDescent="0.25">
      <c r="A2" t="s">
        <v>4</v>
      </c>
      <c r="B2">
        <v>1</v>
      </c>
      <c r="C2">
        <v>2018</v>
      </c>
      <c r="D2">
        <v>57761</v>
      </c>
    </row>
    <row r="3" spans="1:4" x14ac:dyDescent="0.25">
      <c r="A3" t="s">
        <v>4</v>
      </c>
      <c r="B3">
        <v>1</v>
      </c>
      <c r="C3">
        <v>2019</v>
      </c>
      <c r="D3">
        <v>58615</v>
      </c>
    </row>
    <row r="4" spans="1:4" x14ac:dyDescent="0.25">
      <c r="A4" t="s">
        <v>4</v>
      </c>
      <c r="B4">
        <v>1</v>
      </c>
      <c r="C4">
        <v>2020</v>
      </c>
      <c r="D4">
        <v>57647</v>
      </c>
    </row>
    <row r="5" spans="1:4" x14ac:dyDescent="0.25">
      <c r="A5" t="s">
        <v>4</v>
      </c>
      <c r="B5">
        <v>1</v>
      </c>
      <c r="C5">
        <v>2021</v>
      </c>
      <c r="D5">
        <v>58054</v>
      </c>
    </row>
    <row r="6" spans="1:4" x14ac:dyDescent="0.25">
      <c r="A6" t="s">
        <v>4</v>
      </c>
      <c r="B6">
        <v>1</v>
      </c>
      <c r="C6">
        <v>2022</v>
      </c>
      <c r="D6">
        <v>58149</v>
      </c>
    </row>
    <row r="7" spans="1:4" x14ac:dyDescent="0.25">
      <c r="A7" t="s">
        <v>4</v>
      </c>
      <c r="B7">
        <v>1</v>
      </c>
      <c r="C7">
        <v>2023</v>
      </c>
      <c r="D7">
        <v>57858</v>
      </c>
    </row>
    <row r="8" spans="1:4" x14ac:dyDescent="0.25">
      <c r="A8" t="s">
        <v>6</v>
      </c>
      <c r="B8">
        <v>2</v>
      </c>
      <c r="C8">
        <v>2018</v>
      </c>
      <c r="D8">
        <v>10086</v>
      </c>
    </row>
    <row r="9" spans="1:4" x14ac:dyDescent="0.25">
      <c r="A9" t="s">
        <v>6</v>
      </c>
      <c r="B9">
        <v>2</v>
      </c>
      <c r="C9">
        <v>2019</v>
      </c>
      <c r="D9">
        <v>9822</v>
      </c>
    </row>
    <row r="10" spans="1:4" x14ac:dyDescent="0.25">
      <c r="A10" t="s">
        <v>6</v>
      </c>
      <c r="B10">
        <v>2</v>
      </c>
      <c r="C10">
        <v>2020</v>
      </c>
      <c r="D10">
        <v>9469</v>
      </c>
    </row>
    <row r="11" spans="1:4" x14ac:dyDescent="0.25">
      <c r="A11" t="s">
        <v>6</v>
      </c>
      <c r="B11">
        <v>2</v>
      </c>
      <c r="C11">
        <v>2021</v>
      </c>
      <c r="D11">
        <v>9367</v>
      </c>
    </row>
    <row r="12" spans="1:4" x14ac:dyDescent="0.25">
      <c r="A12" t="s">
        <v>6</v>
      </c>
      <c r="B12">
        <v>2</v>
      </c>
      <c r="C12">
        <v>2022</v>
      </c>
      <c r="D12">
        <v>9359</v>
      </c>
    </row>
    <row r="13" spans="1:4" x14ac:dyDescent="0.25">
      <c r="A13" t="s">
        <v>6</v>
      </c>
      <c r="B13">
        <v>2</v>
      </c>
      <c r="C13">
        <v>2023</v>
      </c>
      <c r="D13">
        <v>9015</v>
      </c>
    </row>
    <row r="14" spans="1:4" x14ac:dyDescent="0.25">
      <c r="A14" t="s">
        <v>8</v>
      </c>
      <c r="B14">
        <v>4</v>
      </c>
      <c r="C14">
        <v>2018</v>
      </c>
      <c r="D14">
        <v>80723</v>
      </c>
    </row>
    <row r="15" spans="1:4" x14ac:dyDescent="0.25">
      <c r="A15" t="s">
        <v>8</v>
      </c>
      <c r="B15">
        <v>4</v>
      </c>
      <c r="C15">
        <v>2019</v>
      </c>
      <c r="D15">
        <v>79375</v>
      </c>
    </row>
    <row r="16" spans="1:4" x14ac:dyDescent="0.25">
      <c r="A16" t="s">
        <v>8</v>
      </c>
      <c r="B16">
        <v>4</v>
      </c>
      <c r="C16">
        <v>2020</v>
      </c>
      <c r="D16">
        <v>76947</v>
      </c>
    </row>
    <row r="17" spans="1:4" x14ac:dyDescent="0.25">
      <c r="A17" t="s">
        <v>8</v>
      </c>
      <c r="B17">
        <v>4</v>
      </c>
      <c r="C17">
        <v>2021</v>
      </c>
      <c r="D17">
        <v>77916</v>
      </c>
    </row>
    <row r="18" spans="1:4" x14ac:dyDescent="0.25">
      <c r="A18" t="s">
        <v>8</v>
      </c>
      <c r="B18">
        <v>4</v>
      </c>
      <c r="C18">
        <v>2022</v>
      </c>
      <c r="D18">
        <v>78547</v>
      </c>
    </row>
    <row r="19" spans="1:4" x14ac:dyDescent="0.25">
      <c r="A19" t="s">
        <v>8</v>
      </c>
      <c r="B19">
        <v>4</v>
      </c>
      <c r="C19">
        <v>2023</v>
      </c>
      <c r="D19">
        <v>78096</v>
      </c>
    </row>
    <row r="20" spans="1:4" x14ac:dyDescent="0.25">
      <c r="A20" t="s">
        <v>9</v>
      </c>
      <c r="B20">
        <v>5</v>
      </c>
      <c r="C20">
        <v>2018</v>
      </c>
      <c r="D20">
        <v>37018</v>
      </c>
    </row>
    <row r="21" spans="1:4" x14ac:dyDescent="0.25">
      <c r="A21" t="s">
        <v>9</v>
      </c>
      <c r="B21">
        <v>5</v>
      </c>
      <c r="C21">
        <v>2019</v>
      </c>
      <c r="D21">
        <v>36564</v>
      </c>
    </row>
    <row r="22" spans="1:4" x14ac:dyDescent="0.25">
      <c r="A22" t="s">
        <v>9</v>
      </c>
      <c r="B22">
        <v>5</v>
      </c>
      <c r="C22">
        <v>2020</v>
      </c>
      <c r="D22">
        <v>35251</v>
      </c>
    </row>
    <row r="23" spans="1:4" x14ac:dyDescent="0.25">
      <c r="A23" t="s">
        <v>9</v>
      </c>
      <c r="B23">
        <v>5</v>
      </c>
      <c r="C23">
        <v>2021</v>
      </c>
      <c r="D23">
        <v>35965</v>
      </c>
    </row>
    <row r="24" spans="1:4" x14ac:dyDescent="0.25">
      <c r="A24" t="s">
        <v>9</v>
      </c>
      <c r="B24">
        <v>5</v>
      </c>
      <c r="C24">
        <v>2022</v>
      </c>
      <c r="D24">
        <v>35471</v>
      </c>
    </row>
    <row r="25" spans="1:4" x14ac:dyDescent="0.25">
      <c r="A25" t="s">
        <v>9</v>
      </c>
      <c r="B25">
        <v>5</v>
      </c>
      <c r="C25">
        <v>2023</v>
      </c>
      <c r="D25">
        <v>35264</v>
      </c>
    </row>
    <row r="26" spans="1:4" x14ac:dyDescent="0.25">
      <c r="A26" t="s">
        <v>10</v>
      </c>
      <c r="B26">
        <v>6</v>
      </c>
      <c r="C26">
        <v>2018</v>
      </c>
      <c r="D26">
        <v>454920</v>
      </c>
    </row>
    <row r="27" spans="1:4" x14ac:dyDescent="0.25">
      <c r="A27" t="s">
        <v>10</v>
      </c>
      <c r="B27">
        <v>6</v>
      </c>
      <c r="C27">
        <v>2019</v>
      </c>
      <c r="D27">
        <v>446479</v>
      </c>
    </row>
    <row r="28" spans="1:4" x14ac:dyDescent="0.25">
      <c r="A28" t="s">
        <v>10</v>
      </c>
      <c r="B28">
        <v>6</v>
      </c>
      <c r="C28">
        <v>2020</v>
      </c>
      <c r="D28">
        <v>420259</v>
      </c>
    </row>
    <row r="29" spans="1:4" x14ac:dyDescent="0.25">
      <c r="A29" t="s">
        <v>10</v>
      </c>
      <c r="B29">
        <v>6</v>
      </c>
      <c r="C29">
        <v>2021</v>
      </c>
      <c r="D29">
        <v>420608</v>
      </c>
    </row>
    <row r="30" spans="1:4" x14ac:dyDescent="0.25">
      <c r="A30" t="s">
        <v>10</v>
      </c>
      <c r="B30">
        <v>6</v>
      </c>
      <c r="C30">
        <v>2022</v>
      </c>
      <c r="D30">
        <v>419104</v>
      </c>
    </row>
    <row r="31" spans="1:4" x14ac:dyDescent="0.25">
      <c r="A31" t="s">
        <v>10</v>
      </c>
      <c r="B31">
        <v>6</v>
      </c>
      <c r="C31">
        <v>2023</v>
      </c>
      <c r="D31">
        <v>400108</v>
      </c>
    </row>
    <row r="32" spans="1:4" x14ac:dyDescent="0.25">
      <c r="A32" t="s">
        <v>11</v>
      </c>
      <c r="B32">
        <v>8</v>
      </c>
      <c r="C32">
        <v>2018</v>
      </c>
      <c r="D32">
        <v>62885</v>
      </c>
    </row>
    <row r="33" spans="1:4" x14ac:dyDescent="0.25">
      <c r="A33" t="s">
        <v>11</v>
      </c>
      <c r="B33">
        <v>8</v>
      </c>
      <c r="C33">
        <v>2019</v>
      </c>
      <c r="D33">
        <v>62869</v>
      </c>
    </row>
    <row r="34" spans="1:4" x14ac:dyDescent="0.25">
      <c r="A34" t="s">
        <v>11</v>
      </c>
      <c r="B34">
        <v>8</v>
      </c>
      <c r="C34">
        <v>2020</v>
      </c>
      <c r="D34">
        <v>61494</v>
      </c>
    </row>
    <row r="35" spans="1:4" x14ac:dyDescent="0.25">
      <c r="A35" t="s">
        <v>11</v>
      </c>
      <c r="B35">
        <v>8</v>
      </c>
      <c r="C35">
        <v>2021</v>
      </c>
      <c r="D35">
        <v>62949</v>
      </c>
    </row>
    <row r="36" spans="1:4" x14ac:dyDescent="0.25">
      <c r="A36" t="s">
        <v>11</v>
      </c>
      <c r="B36">
        <v>8</v>
      </c>
      <c r="C36">
        <v>2022</v>
      </c>
      <c r="D36">
        <v>62383</v>
      </c>
    </row>
    <row r="37" spans="1:4" x14ac:dyDescent="0.25">
      <c r="A37" t="s">
        <v>11</v>
      </c>
      <c r="B37">
        <v>8</v>
      </c>
      <c r="C37">
        <v>2023</v>
      </c>
      <c r="D37">
        <v>61494</v>
      </c>
    </row>
    <row r="38" spans="1:4" x14ac:dyDescent="0.25">
      <c r="A38" t="s">
        <v>12</v>
      </c>
      <c r="B38">
        <v>9</v>
      </c>
      <c r="C38">
        <v>2018</v>
      </c>
      <c r="D38">
        <v>34725</v>
      </c>
    </row>
    <row r="39" spans="1:4" x14ac:dyDescent="0.25">
      <c r="A39" t="s">
        <v>12</v>
      </c>
      <c r="B39">
        <v>9</v>
      </c>
      <c r="C39">
        <v>2019</v>
      </c>
      <c r="D39">
        <v>34258</v>
      </c>
    </row>
    <row r="40" spans="1:4" x14ac:dyDescent="0.25">
      <c r="A40" t="s">
        <v>12</v>
      </c>
      <c r="B40">
        <v>9</v>
      </c>
      <c r="C40">
        <v>2020</v>
      </c>
      <c r="D40">
        <v>33460</v>
      </c>
    </row>
    <row r="41" spans="1:4" x14ac:dyDescent="0.25">
      <c r="A41" t="s">
        <v>12</v>
      </c>
      <c r="B41">
        <v>9</v>
      </c>
      <c r="C41">
        <v>2021</v>
      </c>
      <c r="D41">
        <v>35670</v>
      </c>
    </row>
    <row r="42" spans="1:4" x14ac:dyDescent="0.25">
      <c r="A42" t="s">
        <v>12</v>
      </c>
      <c r="B42">
        <v>9</v>
      </c>
      <c r="C42">
        <v>2022</v>
      </c>
      <c r="D42">
        <v>35332</v>
      </c>
    </row>
    <row r="43" spans="1:4" x14ac:dyDescent="0.25">
      <c r="A43" t="s">
        <v>12</v>
      </c>
      <c r="B43">
        <v>9</v>
      </c>
      <c r="C43">
        <v>2023</v>
      </c>
      <c r="D43">
        <v>34559</v>
      </c>
    </row>
    <row r="44" spans="1:4" x14ac:dyDescent="0.25">
      <c r="A44" t="s">
        <v>13</v>
      </c>
      <c r="B44">
        <v>10</v>
      </c>
      <c r="C44">
        <v>2018</v>
      </c>
      <c r="D44">
        <v>10621</v>
      </c>
    </row>
    <row r="45" spans="1:4" x14ac:dyDescent="0.25">
      <c r="A45" t="s">
        <v>13</v>
      </c>
      <c r="B45">
        <v>10</v>
      </c>
      <c r="C45">
        <v>2019</v>
      </c>
      <c r="D45">
        <v>10562</v>
      </c>
    </row>
    <row r="46" spans="1:4" x14ac:dyDescent="0.25">
      <c r="A46" t="s">
        <v>13</v>
      </c>
      <c r="B46">
        <v>10</v>
      </c>
      <c r="C46">
        <v>2020</v>
      </c>
      <c r="D46">
        <v>10392</v>
      </c>
    </row>
    <row r="47" spans="1:4" x14ac:dyDescent="0.25">
      <c r="A47" t="s">
        <v>13</v>
      </c>
      <c r="B47">
        <v>10</v>
      </c>
      <c r="C47">
        <v>2021</v>
      </c>
      <c r="D47">
        <v>10482</v>
      </c>
    </row>
    <row r="48" spans="1:4" x14ac:dyDescent="0.25">
      <c r="A48" t="s">
        <v>13</v>
      </c>
      <c r="B48">
        <v>10</v>
      </c>
      <c r="C48">
        <v>2022</v>
      </c>
      <c r="D48">
        <v>10816</v>
      </c>
    </row>
    <row r="49" spans="1:4" x14ac:dyDescent="0.25">
      <c r="A49" t="s">
        <v>13</v>
      </c>
      <c r="B49">
        <v>10</v>
      </c>
      <c r="C49">
        <v>2023</v>
      </c>
      <c r="D49">
        <v>10427</v>
      </c>
    </row>
    <row r="50" spans="1:4" x14ac:dyDescent="0.25">
      <c r="A50" t="s">
        <v>14</v>
      </c>
      <c r="B50">
        <v>11</v>
      </c>
      <c r="C50">
        <v>2018</v>
      </c>
      <c r="D50">
        <v>9212</v>
      </c>
    </row>
    <row r="51" spans="1:4" x14ac:dyDescent="0.25">
      <c r="A51" t="s">
        <v>14</v>
      </c>
      <c r="B51">
        <v>11</v>
      </c>
      <c r="C51">
        <v>2019</v>
      </c>
      <c r="D51">
        <v>9079</v>
      </c>
    </row>
    <row r="52" spans="1:4" x14ac:dyDescent="0.25">
      <c r="A52" t="s">
        <v>14</v>
      </c>
      <c r="B52">
        <v>11</v>
      </c>
      <c r="C52">
        <v>2020</v>
      </c>
      <c r="D52">
        <v>8874</v>
      </c>
    </row>
    <row r="53" spans="1:4" x14ac:dyDescent="0.25">
      <c r="A53" t="s">
        <v>14</v>
      </c>
      <c r="B53">
        <v>11</v>
      </c>
      <c r="C53">
        <v>2021</v>
      </c>
      <c r="D53">
        <v>8660</v>
      </c>
    </row>
    <row r="54" spans="1:4" x14ac:dyDescent="0.25">
      <c r="A54" t="s">
        <v>14</v>
      </c>
      <c r="B54">
        <v>11</v>
      </c>
      <c r="C54">
        <v>2022</v>
      </c>
      <c r="D54">
        <v>8075</v>
      </c>
    </row>
    <row r="55" spans="1:4" x14ac:dyDescent="0.25">
      <c r="A55" t="s">
        <v>14</v>
      </c>
      <c r="B55">
        <v>11</v>
      </c>
      <c r="C55">
        <v>2023</v>
      </c>
      <c r="D55">
        <v>7896</v>
      </c>
    </row>
    <row r="56" spans="1:4" x14ac:dyDescent="0.25">
      <c r="A56" t="s">
        <v>15</v>
      </c>
      <c r="B56">
        <v>12</v>
      </c>
      <c r="C56">
        <v>2018</v>
      </c>
      <c r="D56">
        <v>221542</v>
      </c>
    </row>
    <row r="57" spans="1:4" x14ac:dyDescent="0.25">
      <c r="A57" t="s">
        <v>15</v>
      </c>
      <c r="B57">
        <v>12</v>
      </c>
      <c r="C57">
        <v>2019</v>
      </c>
      <c r="D57">
        <v>220002</v>
      </c>
    </row>
    <row r="58" spans="1:4" x14ac:dyDescent="0.25">
      <c r="A58" t="s">
        <v>15</v>
      </c>
      <c r="B58">
        <v>12</v>
      </c>
      <c r="C58">
        <v>2020</v>
      </c>
      <c r="D58">
        <v>209671</v>
      </c>
    </row>
    <row r="59" spans="1:4" x14ac:dyDescent="0.25">
      <c r="A59" t="s">
        <v>15</v>
      </c>
      <c r="B59">
        <v>12</v>
      </c>
      <c r="C59">
        <v>2021</v>
      </c>
      <c r="D59">
        <v>216260</v>
      </c>
    </row>
    <row r="60" spans="1:4" x14ac:dyDescent="0.25">
      <c r="A60" t="s">
        <v>15</v>
      </c>
      <c r="B60">
        <v>12</v>
      </c>
      <c r="C60">
        <v>2022</v>
      </c>
      <c r="D60">
        <v>224433</v>
      </c>
    </row>
    <row r="61" spans="1:4" x14ac:dyDescent="0.25">
      <c r="A61" t="s">
        <v>15</v>
      </c>
      <c r="B61">
        <v>12</v>
      </c>
      <c r="C61">
        <v>2023</v>
      </c>
      <c r="D61">
        <v>221410</v>
      </c>
    </row>
    <row r="62" spans="1:4" x14ac:dyDescent="0.25">
      <c r="A62" t="s">
        <v>16</v>
      </c>
      <c r="B62">
        <v>13</v>
      </c>
      <c r="C62">
        <v>2018</v>
      </c>
      <c r="D62">
        <v>126172</v>
      </c>
    </row>
    <row r="63" spans="1:4" x14ac:dyDescent="0.25">
      <c r="A63" t="s">
        <v>16</v>
      </c>
      <c r="B63">
        <v>13</v>
      </c>
      <c r="C63">
        <v>2019</v>
      </c>
      <c r="D63">
        <v>126371</v>
      </c>
    </row>
    <row r="64" spans="1:4" x14ac:dyDescent="0.25">
      <c r="A64" t="s">
        <v>16</v>
      </c>
      <c r="B64">
        <v>13</v>
      </c>
      <c r="C64">
        <v>2020</v>
      </c>
      <c r="D64">
        <v>122473</v>
      </c>
    </row>
    <row r="65" spans="1:4" x14ac:dyDescent="0.25">
      <c r="A65" t="s">
        <v>16</v>
      </c>
      <c r="B65">
        <v>13</v>
      </c>
      <c r="C65">
        <v>2021</v>
      </c>
      <c r="D65">
        <v>124073</v>
      </c>
    </row>
    <row r="66" spans="1:4" x14ac:dyDescent="0.25">
      <c r="A66" t="s">
        <v>16</v>
      </c>
      <c r="B66">
        <v>13</v>
      </c>
      <c r="C66">
        <v>2022</v>
      </c>
      <c r="D66">
        <v>126130</v>
      </c>
    </row>
    <row r="67" spans="1:4" x14ac:dyDescent="0.25">
      <c r="A67" t="s">
        <v>16</v>
      </c>
      <c r="B67">
        <v>13</v>
      </c>
      <c r="C67">
        <v>2023</v>
      </c>
      <c r="D67">
        <v>125120</v>
      </c>
    </row>
    <row r="68" spans="1:4" x14ac:dyDescent="0.25">
      <c r="A68" t="s">
        <v>17</v>
      </c>
      <c r="B68">
        <v>15</v>
      </c>
      <c r="C68">
        <v>2018</v>
      </c>
      <c r="D68">
        <v>16972</v>
      </c>
    </row>
    <row r="69" spans="1:4" x14ac:dyDescent="0.25">
      <c r="A69" t="s">
        <v>17</v>
      </c>
      <c r="B69">
        <v>15</v>
      </c>
      <c r="C69">
        <v>2019</v>
      </c>
      <c r="D69">
        <v>16797</v>
      </c>
    </row>
    <row r="70" spans="1:4" x14ac:dyDescent="0.25">
      <c r="A70" t="s">
        <v>17</v>
      </c>
      <c r="B70">
        <v>15</v>
      </c>
      <c r="C70">
        <v>2020</v>
      </c>
      <c r="D70">
        <v>15785</v>
      </c>
    </row>
    <row r="71" spans="1:4" x14ac:dyDescent="0.25">
      <c r="A71" t="s">
        <v>17</v>
      </c>
      <c r="B71">
        <v>15</v>
      </c>
      <c r="C71">
        <v>2021</v>
      </c>
      <c r="D71">
        <v>15620</v>
      </c>
    </row>
    <row r="72" spans="1:4" x14ac:dyDescent="0.25">
      <c r="A72" t="s">
        <v>17</v>
      </c>
      <c r="B72">
        <v>15</v>
      </c>
      <c r="C72">
        <v>2022</v>
      </c>
      <c r="D72">
        <v>15535</v>
      </c>
    </row>
    <row r="73" spans="1:4" x14ac:dyDescent="0.25">
      <c r="A73" t="s">
        <v>17</v>
      </c>
      <c r="B73">
        <v>15</v>
      </c>
      <c r="C73">
        <v>2023</v>
      </c>
      <c r="D73">
        <v>14808</v>
      </c>
    </row>
    <row r="74" spans="1:4" x14ac:dyDescent="0.25">
      <c r="A74" t="s">
        <v>18</v>
      </c>
      <c r="B74">
        <v>16</v>
      </c>
      <c r="C74">
        <v>2018</v>
      </c>
      <c r="D74">
        <v>21403</v>
      </c>
    </row>
    <row r="75" spans="1:4" x14ac:dyDescent="0.25">
      <c r="A75" t="s">
        <v>18</v>
      </c>
      <c r="B75">
        <v>16</v>
      </c>
      <c r="C75">
        <v>2019</v>
      </c>
      <c r="D75">
        <v>22063</v>
      </c>
    </row>
    <row r="76" spans="1:4" x14ac:dyDescent="0.25">
      <c r="A76" t="s">
        <v>18</v>
      </c>
      <c r="B76">
        <v>16</v>
      </c>
      <c r="C76">
        <v>2020</v>
      </c>
      <c r="D76">
        <v>21533</v>
      </c>
    </row>
    <row r="77" spans="1:4" x14ac:dyDescent="0.25">
      <c r="A77" t="s">
        <v>18</v>
      </c>
      <c r="B77">
        <v>16</v>
      </c>
      <c r="C77">
        <v>2021</v>
      </c>
      <c r="D77">
        <v>22427</v>
      </c>
    </row>
    <row r="78" spans="1:4" x14ac:dyDescent="0.25">
      <c r="A78" t="s">
        <v>18</v>
      </c>
      <c r="B78">
        <v>16</v>
      </c>
      <c r="C78">
        <v>2022</v>
      </c>
      <c r="D78">
        <v>22391</v>
      </c>
    </row>
    <row r="79" spans="1:4" x14ac:dyDescent="0.25">
      <c r="A79" t="s">
        <v>18</v>
      </c>
      <c r="B79">
        <v>16</v>
      </c>
      <c r="C79">
        <v>2023</v>
      </c>
      <c r="D79">
        <v>22397</v>
      </c>
    </row>
    <row r="80" spans="1:4" x14ac:dyDescent="0.25">
      <c r="A80" t="s">
        <v>19</v>
      </c>
      <c r="B80">
        <v>17</v>
      </c>
      <c r="C80">
        <v>2018</v>
      </c>
      <c r="D80">
        <v>144815</v>
      </c>
    </row>
    <row r="81" spans="1:4" x14ac:dyDescent="0.25">
      <c r="A81" t="s">
        <v>19</v>
      </c>
      <c r="B81">
        <v>17</v>
      </c>
      <c r="C81">
        <v>2019</v>
      </c>
      <c r="D81">
        <v>140128</v>
      </c>
    </row>
    <row r="82" spans="1:4" x14ac:dyDescent="0.25">
      <c r="A82" t="s">
        <v>19</v>
      </c>
      <c r="B82">
        <v>17</v>
      </c>
      <c r="C82">
        <v>2020</v>
      </c>
      <c r="D82">
        <v>133298</v>
      </c>
    </row>
    <row r="83" spans="1:4" x14ac:dyDescent="0.25">
      <c r="A83" t="s">
        <v>19</v>
      </c>
      <c r="B83">
        <v>17</v>
      </c>
      <c r="C83">
        <v>2021</v>
      </c>
      <c r="D83">
        <v>132189</v>
      </c>
    </row>
    <row r="84" spans="1:4" x14ac:dyDescent="0.25">
      <c r="A84" t="s">
        <v>19</v>
      </c>
      <c r="B84">
        <v>17</v>
      </c>
      <c r="C84">
        <v>2022</v>
      </c>
      <c r="D84">
        <v>128350</v>
      </c>
    </row>
    <row r="85" spans="1:4" x14ac:dyDescent="0.25">
      <c r="A85" t="s">
        <v>19</v>
      </c>
      <c r="B85">
        <v>17</v>
      </c>
      <c r="C85">
        <v>2023</v>
      </c>
      <c r="D85">
        <v>124820</v>
      </c>
    </row>
    <row r="86" spans="1:4" x14ac:dyDescent="0.25">
      <c r="A86" t="s">
        <v>20</v>
      </c>
      <c r="B86">
        <v>18</v>
      </c>
      <c r="C86">
        <v>2018</v>
      </c>
      <c r="D86">
        <v>81646</v>
      </c>
    </row>
    <row r="87" spans="1:4" x14ac:dyDescent="0.25">
      <c r="A87" t="s">
        <v>20</v>
      </c>
      <c r="B87">
        <v>18</v>
      </c>
      <c r="C87">
        <v>2019</v>
      </c>
      <c r="D87">
        <v>80859</v>
      </c>
    </row>
    <row r="88" spans="1:4" x14ac:dyDescent="0.25">
      <c r="A88" t="s">
        <v>20</v>
      </c>
      <c r="B88">
        <v>18</v>
      </c>
      <c r="C88">
        <v>2020</v>
      </c>
      <c r="D88">
        <v>78616</v>
      </c>
    </row>
    <row r="89" spans="1:4" x14ac:dyDescent="0.25">
      <c r="A89" t="s">
        <v>20</v>
      </c>
      <c r="B89">
        <v>18</v>
      </c>
      <c r="C89">
        <v>2021</v>
      </c>
      <c r="D89">
        <v>79946</v>
      </c>
    </row>
    <row r="90" spans="1:4" x14ac:dyDescent="0.25">
      <c r="A90" t="s">
        <v>20</v>
      </c>
      <c r="B90">
        <v>18</v>
      </c>
      <c r="C90">
        <v>2022</v>
      </c>
      <c r="D90">
        <v>79649</v>
      </c>
    </row>
    <row r="91" spans="1:4" x14ac:dyDescent="0.25">
      <c r="A91" t="s">
        <v>20</v>
      </c>
      <c r="B91">
        <v>18</v>
      </c>
      <c r="C91">
        <v>2023</v>
      </c>
      <c r="D91">
        <v>79000</v>
      </c>
    </row>
    <row r="92" spans="1:4" x14ac:dyDescent="0.25">
      <c r="A92" t="s">
        <v>21</v>
      </c>
      <c r="B92">
        <v>19</v>
      </c>
      <c r="C92">
        <v>2018</v>
      </c>
      <c r="D92">
        <v>37785</v>
      </c>
    </row>
    <row r="93" spans="1:4" x14ac:dyDescent="0.25">
      <c r="A93" t="s">
        <v>21</v>
      </c>
      <c r="B93">
        <v>19</v>
      </c>
      <c r="C93">
        <v>2019</v>
      </c>
      <c r="D93">
        <v>37649</v>
      </c>
    </row>
    <row r="94" spans="1:4" x14ac:dyDescent="0.25">
      <c r="A94" t="s">
        <v>21</v>
      </c>
      <c r="B94">
        <v>19</v>
      </c>
      <c r="C94">
        <v>2020</v>
      </c>
      <c r="D94">
        <v>36114</v>
      </c>
    </row>
    <row r="95" spans="1:4" x14ac:dyDescent="0.25">
      <c r="A95" t="s">
        <v>21</v>
      </c>
      <c r="B95">
        <v>19</v>
      </c>
      <c r="C95">
        <v>2021</v>
      </c>
      <c r="D95">
        <v>36835</v>
      </c>
    </row>
    <row r="96" spans="1:4" x14ac:dyDescent="0.25">
      <c r="A96" t="s">
        <v>21</v>
      </c>
      <c r="B96">
        <v>19</v>
      </c>
      <c r="C96">
        <v>2022</v>
      </c>
      <c r="D96">
        <v>36506</v>
      </c>
    </row>
    <row r="97" spans="1:4" x14ac:dyDescent="0.25">
      <c r="A97" t="s">
        <v>21</v>
      </c>
      <c r="B97">
        <v>19</v>
      </c>
      <c r="C97">
        <v>2023</v>
      </c>
      <c r="D97">
        <v>36052</v>
      </c>
    </row>
    <row r="98" spans="1:4" x14ac:dyDescent="0.25">
      <c r="A98" t="s">
        <v>22</v>
      </c>
      <c r="B98">
        <v>20</v>
      </c>
      <c r="C98">
        <v>2018</v>
      </c>
      <c r="D98">
        <v>36261</v>
      </c>
    </row>
    <row r="99" spans="1:4" x14ac:dyDescent="0.25">
      <c r="A99" t="s">
        <v>22</v>
      </c>
      <c r="B99">
        <v>20</v>
      </c>
      <c r="C99">
        <v>2019</v>
      </c>
      <c r="D99">
        <v>35395</v>
      </c>
    </row>
    <row r="100" spans="1:4" x14ac:dyDescent="0.25">
      <c r="A100" t="s">
        <v>22</v>
      </c>
      <c r="B100">
        <v>20</v>
      </c>
      <c r="C100">
        <v>2020</v>
      </c>
      <c r="D100">
        <v>34376</v>
      </c>
    </row>
    <row r="101" spans="1:4" x14ac:dyDescent="0.25">
      <c r="A101" t="s">
        <v>22</v>
      </c>
      <c r="B101">
        <v>20</v>
      </c>
      <c r="C101">
        <v>2021</v>
      </c>
      <c r="D101">
        <v>34705</v>
      </c>
    </row>
    <row r="102" spans="1:4" x14ac:dyDescent="0.25">
      <c r="A102" t="s">
        <v>22</v>
      </c>
      <c r="B102">
        <v>20</v>
      </c>
      <c r="C102">
        <v>2022</v>
      </c>
      <c r="D102">
        <v>34401</v>
      </c>
    </row>
    <row r="103" spans="1:4" x14ac:dyDescent="0.25">
      <c r="A103" t="s">
        <v>22</v>
      </c>
      <c r="B103">
        <v>20</v>
      </c>
      <c r="C103">
        <v>2023</v>
      </c>
      <c r="D103">
        <v>34065</v>
      </c>
    </row>
    <row r="104" spans="1:4" x14ac:dyDescent="0.25">
      <c r="A104" t="s">
        <v>23</v>
      </c>
      <c r="B104">
        <v>21</v>
      </c>
      <c r="C104">
        <v>2018</v>
      </c>
      <c r="D104">
        <v>53922</v>
      </c>
    </row>
    <row r="105" spans="1:4" x14ac:dyDescent="0.25">
      <c r="A105" t="s">
        <v>23</v>
      </c>
      <c r="B105">
        <v>21</v>
      </c>
      <c r="C105">
        <v>2019</v>
      </c>
      <c r="D105">
        <v>53069</v>
      </c>
    </row>
    <row r="106" spans="1:4" x14ac:dyDescent="0.25">
      <c r="A106" t="s">
        <v>23</v>
      </c>
      <c r="B106">
        <v>21</v>
      </c>
      <c r="C106">
        <v>2020</v>
      </c>
      <c r="D106">
        <v>51668</v>
      </c>
    </row>
    <row r="107" spans="1:4" x14ac:dyDescent="0.25">
      <c r="A107" t="s">
        <v>23</v>
      </c>
      <c r="B107">
        <v>21</v>
      </c>
      <c r="C107">
        <v>2021</v>
      </c>
      <c r="D107">
        <v>52214</v>
      </c>
    </row>
    <row r="108" spans="1:4" x14ac:dyDescent="0.25">
      <c r="A108" t="s">
        <v>23</v>
      </c>
      <c r="B108">
        <v>21</v>
      </c>
      <c r="C108">
        <v>2022</v>
      </c>
      <c r="D108">
        <v>52315</v>
      </c>
    </row>
    <row r="109" spans="1:4" x14ac:dyDescent="0.25">
      <c r="A109" t="s">
        <v>23</v>
      </c>
      <c r="B109">
        <v>21</v>
      </c>
      <c r="C109">
        <v>2023</v>
      </c>
      <c r="D109">
        <v>51984</v>
      </c>
    </row>
    <row r="110" spans="1:4" x14ac:dyDescent="0.25">
      <c r="A110" t="s">
        <v>24</v>
      </c>
      <c r="B110">
        <v>22</v>
      </c>
      <c r="C110">
        <v>2018</v>
      </c>
      <c r="D110">
        <v>59615</v>
      </c>
    </row>
    <row r="111" spans="1:4" x14ac:dyDescent="0.25">
      <c r="A111" t="s">
        <v>24</v>
      </c>
      <c r="B111">
        <v>22</v>
      </c>
      <c r="C111">
        <v>2019</v>
      </c>
      <c r="D111">
        <v>58941</v>
      </c>
    </row>
    <row r="112" spans="1:4" x14ac:dyDescent="0.25">
      <c r="A112" t="s">
        <v>24</v>
      </c>
      <c r="B112">
        <v>22</v>
      </c>
      <c r="C112">
        <v>2020</v>
      </c>
      <c r="D112">
        <v>57328</v>
      </c>
    </row>
    <row r="113" spans="1:4" x14ac:dyDescent="0.25">
      <c r="A113" t="s">
        <v>24</v>
      </c>
      <c r="B113">
        <v>22</v>
      </c>
      <c r="C113">
        <v>2021</v>
      </c>
      <c r="D113">
        <v>57437</v>
      </c>
    </row>
    <row r="114" spans="1:4" x14ac:dyDescent="0.25">
      <c r="A114" t="s">
        <v>24</v>
      </c>
      <c r="B114">
        <v>22</v>
      </c>
      <c r="C114">
        <v>2022</v>
      </c>
      <c r="D114">
        <v>56479</v>
      </c>
    </row>
    <row r="115" spans="1:4" x14ac:dyDescent="0.25">
      <c r="A115" t="s">
        <v>24</v>
      </c>
      <c r="B115">
        <v>22</v>
      </c>
      <c r="C115">
        <v>2023</v>
      </c>
      <c r="D115">
        <v>54927</v>
      </c>
    </row>
    <row r="116" spans="1:4" x14ac:dyDescent="0.25">
      <c r="A116" t="s">
        <v>25</v>
      </c>
      <c r="B116">
        <v>23</v>
      </c>
      <c r="C116">
        <v>2018</v>
      </c>
      <c r="D116">
        <v>12311</v>
      </c>
    </row>
    <row r="117" spans="1:4" x14ac:dyDescent="0.25">
      <c r="A117" t="s">
        <v>25</v>
      </c>
      <c r="B117">
        <v>23</v>
      </c>
      <c r="C117">
        <v>2019</v>
      </c>
      <c r="D117">
        <v>11779</v>
      </c>
    </row>
    <row r="118" spans="1:4" x14ac:dyDescent="0.25">
      <c r="A118" t="s">
        <v>25</v>
      </c>
      <c r="B118">
        <v>23</v>
      </c>
      <c r="C118">
        <v>2020</v>
      </c>
      <c r="D118">
        <v>11539</v>
      </c>
    </row>
    <row r="119" spans="1:4" x14ac:dyDescent="0.25">
      <c r="A119" t="s">
        <v>25</v>
      </c>
      <c r="B119">
        <v>23</v>
      </c>
      <c r="C119">
        <v>2021</v>
      </c>
      <c r="D119">
        <v>12006</v>
      </c>
    </row>
    <row r="120" spans="1:4" x14ac:dyDescent="0.25">
      <c r="A120" t="s">
        <v>25</v>
      </c>
      <c r="B120">
        <v>23</v>
      </c>
      <c r="C120">
        <v>2022</v>
      </c>
      <c r="D120">
        <v>12093</v>
      </c>
    </row>
    <row r="121" spans="1:4" x14ac:dyDescent="0.25">
      <c r="A121" t="s">
        <v>25</v>
      </c>
      <c r="B121">
        <v>23</v>
      </c>
      <c r="C121">
        <v>2023</v>
      </c>
      <c r="D121">
        <v>11627</v>
      </c>
    </row>
    <row r="122" spans="1:4" x14ac:dyDescent="0.25">
      <c r="A122" t="s">
        <v>26</v>
      </c>
      <c r="B122">
        <v>24</v>
      </c>
      <c r="C122">
        <v>2018</v>
      </c>
      <c r="D122">
        <v>71080</v>
      </c>
    </row>
    <row r="123" spans="1:4" x14ac:dyDescent="0.25">
      <c r="A123" t="s">
        <v>26</v>
      </c>
      <c r="B123">
        <v>24</v>
      </c>
      <c r="C123">
        <v>2019</v>
      </c>
      <c r="D123">
        <v>70178</v>
      </c>
    </row>
    <row r="124" spans="1:4" x14ac:dyDescent="0.25">
      <c r="A124" t="s">
        <v>26</v>
      </c>
      <c r="B124">
        <v>24</v>
      </c>
      <c r="C124">
        <v>2020</v>
      </c>
      <c r="D124">
        <v>68554</v>
      </c>
    </row>
    <row r="125" spans="1:4" x14ac:dyDescent="0.25">
      <c r="A125" t="s">
        <v>26</v>
      </c>
      <c r="B125">
        <v>24</v>
      </c>
      <c r="C125">
        <v>2021</v>
      </c>
      <c r="D125">
        <v>68285</v>
      </c>
    </row>
    <row r="126" spans="1:4" x14ac:dyDescent="0.25">
      <c r="A126" t="s">
        <v>26</v>
      </c>
      <c r="B126">
        <v>24</v>
      </c>
      <c r="C126">
        <v>2022</v>
      </c>
      <c r="D126">
        <v>68782</v>
      </c>
    </row>
    <row r="127" spans="1:4" x14ac:dyDescent="0.25">
      <c r="A127" t="s">
        <v>26</v>
      </c>
      <c r="B127">
        <v>24</v>
      </c>
      <c r="C127">
        <v>2023</v>
      </c>
      <c r="D127">
        <v>65594</v>
      </c>
    </row>
    <row r="128" spans="1:4" x14ac:dyDescent="0.25">
      <c r="A128" t="s">
        <v>27</v>
      </c>
      <c r="B128">
        <v>25</v>
      </c>
      <c r="C128">
        <v>2018</v>
      </c>
      <c r="D128">
        <v>69109</v>
      </c>
    </row>
    <row r="129" spans="1:4" x14ac:dyDescent="0.25">
      <c r="A129" t="s">
        <v>27</v>
      </c>
      <c r="B129">
        <v>25</v>
      </c>
      <c r="C129">
        <v>2019</v>
      </c>
      <c r="D129">
        <v>69117</v>
      </c>
    </row>
    <row r="130" spans="1:4" x14ac:dyDescent="0.25">
      <c r="A130" t="s">
        <v>27</v>
      </c>
      <c r="B130">
        <v>25</v>
      </c>
      <c r="C130">
        <v>2020</v>
      </c>
      <c r="D130">
        <v>66428</v>
      </c>
    </row>
    <row r="131" spans="1:4" x14ac:dyDescent="0.25">
      <c r="A131" t="s">
        <v>27</v>
      </c>
      <c r="B131">
        <v>25</v>
      </c>
      <c r="C131">
        <v>2021</v>
      </c>
      <c r="D131">
        <v>69137</v>
      </c>
    </row>
    <row r="132" spans="1:4" x14ac:dyDescent="0.25">
      <c r="A132" t="s">
        <v>27</v>
      </c>
      <c r="B132">
        <v>25</v>
      </c>
      <c r="C132">
        <v>2022</v>
      </c>
      <c r="D132">
        <v>68584</v>
      </c>
    </row>
    <row r="133" spans="1:4" x14ac:dyDescent="0.25">
      <c r="A133" t="s">
        <v>27</v>
      </c>
      <c r="B133">
        <v>25</v>
      </c>
      <c r="C133">
        <v>2023</v>
      </c>
      <c r="D133">
        <v>67093</v>
      </c>
    </row>
    <row r="134" spans="1:4" x14ac:dyDescent="0.25">
      <c r="A134" t="s">
        <v>28</v>
      </c>
      <c r="B134">
        <v>26</v>
      </c>
      <c r="C134">
        <v>2018</v>
      </c>
      <c r="D134">
        <v>110032</v>
      </c>
    </row>
    <row r="135" spans="1:4" x14ac:dyDescent="0.25">
      <c r="A135" t="s">
        <v>28</v>
      </c>
      <c r="B135">
        <v>26</v>
      </c>
      <c r="C135">
        <v>2019</v>
      </c>
      <c r="D135">
        <v>107886</v>
      </c>
    </row>
    <row r="136" spans="1:4" x14ac:dyDescent="0.25">
      <c r="A136" t="s">
        <v>28</v>
      </c>
      <c r="B136">
        <v>26</v>
      </c>
      <c r="C136">
        <v>2020</v>
      </c>
      <c r="D136">
        <v>104074</v>
      </c>
    </row>
    <row r="137" spans="1:4" x14ac:dyDescent="0.25">
      <c r="A137" t="s">
        <v>28</v>
      </c>
      <c r="B137">
        <v>26</v>
      </c>
      <c r="C137">
        <v>2021</v>
      </c>
      <c r="D137">
        <v>104980</v>
      </c>
    </row>
    <row r="138" spans="1:4" x14ac:dyDescent="0.25">
      <c r="A138" t="s">
        <v>28</v>
      </c>
      <c r="B138">
        <v>26</v>
      </c>
      <c r="C138">
        <v>2022</v>
      </c>
      <c r="D138">
        <v>102321</v>
      </c>
    </row>
    <row r="139" spans="1:4" x14ac:dyDescent="0.25">
      <c r="A139" t="s">
        <v>28</v>
      </c>
      <c r="B139">
        <v>26</v>
      </c>
      <c r="C139">
        <v>2023</v>
      </c>
      <c r="D139">
        <v>99124</v>
      </c>
    </row>
    <row r="140" spans="1:4" x14ac:dyDescent="0.25">
      <c r="A140" t="s">
        <v>29</v>
      </c>
      <c r="B140">
        <v>27</v>
      </c>
      <c r="C140">
        <v>2018</v>
      </c>
      <c r="D140">
        <v>67344</v>
      </c>
    </row>
    <row r="141" spans="1:4" x14ac:dyDescent="0.25">
      <c r="A141" t="s">
        <v>29</v>
      </c>
      <c r="B141">
        <v>27</v>
      </c>
      <c r="C141">
        <v>2019</v>
      </c>
      <c r="D141">
        <v>66027</v>
      </c>
    </row>
    <row r="142" spans="1:4" x14ac:dyDescent="0.25">
      <c r="A142" t="s">
        <v>29</v>
      </c>
      <c r="B142">
        <v>27</v>
      </c>
      <c r="C142">
        <v>2020</v>
      </c>
      <c r="D142">
        <v>63443</v>
      </c>
    </row>
    <row r="143" spans="1:4" x14ac:dyDescent="0.25">
      <c r="A143" t="s">
        <v>29</v>
      </c>
      <c r="B143">
        <v>27</v>
      </c>
      <c r="C143">
        <v>2021</v>
      </c>
      <c r="D143">
        <v>64425</v>
      </c>
    </row>
    <row r="144" spans="1:4" x14ac:dyDescent="0.25">
      <c r="A144" t="s">
        <v>29</v>
      </c>
      <c r="B144">
        <v>27</v>
      </c>
      <c r="C144">
        <v>2022</v>
      </c>
      <c r="D144">
        <v>64015</v>
      </c>
    </row>
    <row r="145" spans="1:4" x14ac:dyDescent="0.25">
      <c r="A145" t="s">
        <v>29</v>
      </c>
      <c r="B145">
        <v>27</v>
      </c>
      <c r="C145">
        <v>2023</v>
      </c>
      <c r="D145">
        <v>61715</v>
      </c>
    </row>
    <row r="146" spans="1:4" x14ac:dyDescent="0.25">
      <c r="A146" t="s">
        <v>30</v>
      </c>
      <c r="B146">
        <v>28</v>
      </c>
      <c r="C146">
        <v>2018</v>
      </c>
      <c r="D146">
        <v>37000</v>
      </c>
    </row>
    <row r="147" spans="1:4" x14ac:dyDescent="0.25">
      <c r="A147" t="s">
        <v>30</v>
      </c>
      <c r="B147">
        <v>28</v>
      </c>
      <c r="C147">
        <v>2019</v>
      </c>
      <c r="D147">
        <v>36636</v>
      </c>
    </row>
    <row r="148" spans="1:4" x14ac:dyDescent="0.25">
      <c r="A148" t="s">
        <v>30</v>
      </c>
      <c r="B148">
        <v>28</v>
      </c>
      <c r="C148">
        <v>2020</v>
      </c>
      <c r="D148">
        <v>35473</v>
      </c>
    </row>
    <row r="149" spans="1:4" x14ac:dyDescent="0.25">
      <c r="A149" t="s">
        <v>30</v>
      </c>
      <c r="B149">
        <v>28</v>
      </c>
      <c r="C149">
        <v>2021</v>
      </c>
      <c r="D149">
        <v>35156</v>
      </c>
    </row>
    <row r="150" spans="1:4" x14ac:dyDescent="0.25">
      <c r="A150" t="s">
        <v>30</v>
      </c>
      <c r="B150">
        <v>28</v>
      </c>
      <c r="C150">
        <v>2022</v>
      </c>
      <c r="D150">
        <v>34675</v>
      </c>
    </row>
    <row r="151" spans="1:4" x14ac:dyDescent="0.25">
      <c r="A151" t="s">
        <v>30</v>
      </c>
      <c r="B151">
        <v>28</v>
      </c>
      <c r="C151">
        <v>2023</v>
      </c>
      <c r="D151">
        <v>34459</v>
      </c>
    </row>
    <row r="152" spans="1:4" x14ac:dyDescent="0.25">
      <c r="A152" t="s">
        <v>31</v>
      </c>
      <c r="B152">
        <v>29</v>
      </c>
      <c r="C152">
        <v>2018</v>
      </c>
      <c r="D152">
        <v>73269</v>
      </c>
    </row>
    <row r="153" spans="1:4" x14ac:dyDescent="0.25">
      <c r="A153" t="s">
        <v>31</v>
      </c>
      <c r="B153">
        <v>29</v>
      </c>
      <c r="C153">
        <v>2019</v>
      </c>
      <c r="D153">
        <v>72127</v>
      </c>
    </row>
    <row r="154" spans="1:4" x14ac:dyDescent="0.25">
      <c r="A154" t="s">
        <v>31</v>
      </c>
      <c r="B154">
        <v>29</v>
      </c>
      <c r="C154">
        <v>2020</v>
      </c>
      <c r="D154">
        <v>69285</v>
      </c>
    </row>
    <row r="155" spans="1:4" x14ac:dyDescent="0.25">
      <c r="A155" t="s">
        <v>31</v>
      </c>
      <c r="B155">
        <v>29</v>
      </c>
      <c r="C155">
        <v>2021</v>
      </c>
      <c r="D155">
        <v>69453</v>
      </c>
    </row>
    <row r="156" spans="1:4" x14ac:dyDescent="0.25">
      <c r="A156" t="s">
        <v>31</v>
      </c>
      <c r="B156">
        <v>29</v>
      </c>
      <c r="C156">
        <v>2022</v>
      </c>
      <c r="D156">
        <v>68985</v>
      </c>
    </row>
    <row r="157" spans="1:4" x14ac:dyDescent="0.25">
      <c r="A157" t="s">
        <v>31</v>
      </c>
      <c r="B157">
        <v>29</v>
      </c>
      <c r="C157">
        <v>2023</v>
      </c>
      <c r="D157">
        <v>67123</v>
      </c>
    </row>
    <row r="158" spans="1:4" x14ac:dyDescent="0.25">
      <c r="A158" t="s">
        <v>32</v>
      </c>
      <c r="B158">
        <v>30</v>
      </c>
      <c r="C158">
        <v>2018</v>
      </c>
      <c r="D158">
        <v>11513</v>
      </c>
    </row>
    <row r="159" spans="1:4" x14ac:dyDescent="0.25">
      <c r="A159" t="s">
        <v>32</v>
      </c>
      <c r="B159">
        <v>30</v>
      </c>
      <c r="C159">
        <v>2019</v>
      </c>
      <c r="D159">
        <v>11079</v>
      </c>
    </row>
    <row r="160" spans="1:4" x14ac:dyDescent="0.25">
      <c r="A160" t="s">
        <v>32</v>
      </c>
      <c r="B160">
        <v>30</v>
      </c>
      <c r="C160">
        <v>2020</v>
      </c>
      <c r="D160">
        <v>10791</v>
      </c>
    </row>
    <row r="161" spans="1:4" x14ac:dyDescent="0.25">
      <c r="A161" t="s">
        <v>32</v>
      </c>
      <c r="B161">
        <v>30</v>
      </c>
      <c r="C161">
        <v>2021</v>
      </c>
      <c r="D161">
        <v>11231</v>
      </c>
    </row>
    <row r="162" spans="1:4" x14ac:dyDescent="0.25">
      <c r="A162" t="s">
        <v>32</v>
      </c>
      <c r="B162">
        <v>30</v>
      </c>
      <c r="C162">
        <v>2022</v>
      </c>
      <c r="D162">
        <v>11175</v>
      </c>
    </row>
    <row r="163" spans="1:4" x14ac:dyDescent="0.25">
      <c r="A163" t="s">
        <v>32</v>
      </c>
      <c r="B163">
        <v>30</v>
      </c>
      <c r="C163">
        <v>2023</v>
      </c>
      <c r="D163">
        <v>11078</v>
      </c>
    </row>
    <row r="164" spans="1:4" x14ac:dyDescent="0.25">
      <c r="A164" t="s">
        <v>33</v>
      </c>
      <c r="B164">
        <v>31</v>
      </c>
      <c r="C164">
        <v>2018</v>
      </c>
      <c r="D164">
        <v>25488</v>
      </c>
    </row>
    <row r="165" spans="1:4" x14ac:dyDescent="0.25">
      <c r="A165" t="s">
        <v>33</v>
      </c>
      <c r="B165">
        <v>31</v>
      </c>
      <c r="C165">
        <v>2019</v>
      </c>
      <c r="D165">
        <v>24755</v>
      </c>
    </row>
    <row r="166" spans="1:4" x14ac:dyDescent="0.25">
      <c r="A166" t="s">
        <v>33</v>
      </c>
      <c r="B166">
        <v>31</v>
      </c>
      <c r="C166">
        <v>2020</v>
      </c>
      <c r="D166">
        <v>24291</v>
      </c>
    </row>
    <row r="167" spans="1:4" x14ac:dyDescent="0.25">
      <c r="A167" t="s">
        <v>33</v>
      </c>
      <c r="B167">
        <v>31</v>
      </c>
      <c r="C167">
        <v>2021</v>
      </c>
      <c r="D167">
        <v>24609</v>
      </c>
    </row>
    <row r="168" spans="1:4" x14ac:dyDescent="0.25">
      <c r="A168" t="s">
        <v>33</v>
      </c>
      <c r="B168">
        <v>31</v>
      </c>
      <c r="C168">
        <v>2022</v>
      </c>
      <c r="D168">
        <v>24345</v>
      </c>
    </row>
    <row r="169" spans="1:4" x14ac:dyDescent="0.25">
      <c r="A169" t="s">
        <v>33</v>
      </c>
      <c r="B169">
        <v>31</v>
      </c>
      <c r="C169">
        <v>2023</v>
      </c>
      <c r="D169">
        <v>24111</v>
      </c>
    </row>
    <row r="170" spans="1:4" x14ac:dyDescent="0.25">
      <c r="A170" t="s">
        <v>34</v>
      </c>
      <c r="B170">
        <v>32</v>
      </c>
      <c r="C170">
        <v>2018</v>
      </c>
      <c r="D170">
        <v>35682</v>
      </c>
    </row>
    <row r="171" spans="1:4" x14ac:dyDescent="0.25">
      <c r="A171" t="s">
        <v>34</v>
      </c>
      <c r="B171">
        <v>32</v>
      </c>
      <c r="C171">
        <v>2019</v>
      </c>
      <c r="D171">
        <v>35072</v>
      </c>
    </row>
    <row r="172" spans="1:4" x14ac:dyDescent="0.25">
      <c r="A172" t="s">
        <v>34</v>
      </c>
      <c r="B172">
        <v>32</v>
      </c>
      <c r="C172">
        <v>2020</v>
      </c>
      <c r="D172">
        <v>33653</v>
      </c>
    </row>
    <row r="173" spans="1:4" x14ac:dyDescent="0.25">
      <c r="A173" t="s">
        <v>34</v>
      </c>
      <c r="B173">
        <v>32</v>
      </c>
      <c r="C173">
        <v>2021</v>
      </c>
      <c r="D173">
        <v>33686</v>
      </c>
    </row>
    <row r="174" spans="1:4" x14ac:dyDescent="0.25">
      <c r="A174" t="s">
        <v>34</v>
      </c>
      <c r="B174">
        <v>32</v>
      </c>
      <c r="C174">
        <v>2022</v>
      </c>
      <c r="D174">
        <v>33193</v>
      </c>
    </row>
    <row r="175" spans="1:4" x14ac:dyDescent="0.25">
      <c r="A175" t="s">
        <v>34</v>
      </c>
      <c r="B175">
        <v>32</v>
      </c>
      <c r="C175">
        <v>2023</v>
      </c>
      <c r="D175">
        <v>31794</v>
      </c>
    </row>
    <row r="176" spans="1:4" x14ac:dyDescent="0.25">
      <c r="A176" t="s">
        <v>35</v>
      </c>
      <c r="B176">
        <v>33</v>
      </c>
      <c r="C176">
        <v>2018</v>
      </c>
      <c r="D176">
        <v>11995</v>
      </c>
    </row>
    <row r="177" spans="1:4" x14ac:dyDescent="0.25">
      <c r="A177" t="s">
        <v>35</v>
      </c>
      <c r="B177">
        <v>33</v>
      </c>
      <c r="C177">
        <v>2019</v>
      </c>
      <c r="D177">
        <v>11839</v>
      </c>
    </row>
    <row r="178" spans="1:4" x14ac:dyDescent="0.25">
      <c r="A178" t="s">
        <v>35</v>
      </c>
      <c r="B178">
        <v>33</v>
      </c>
      <c r="C178">
        <v>2020</v>
      </c>
      <c r="D178">
        <v>11791</v>
      </c>
    </row>
    <row r="179" spans="1:4" x14ac:dyDescent="0.25">
      <c r="A179" t="s">
        <v>35</v>
      </c>
      <c r="B179">
        <v>33</v>
      </c>
      <c r="C179">
        <v>2021</v>
      </c>
      <c r="D179">
        <v>12625</v>
      </c>
    </row>
    <row r="180" spans="1:4" x14ac:dyDescent="0.25">
      <c r="A180" t="s">
        <v>35</v>
      </c>
      <c r="B180">
        <v>33</v>
      </c>
      <c r="C180">
        <v>2022</v>
      </c>
      <c r="D180">
        <v>12077</v>
      </c>
    </row>
    <row r="181" spans="1:4" x14ac:dyDescent="0.25">
      <c r="A181" t="s">
        <v>35</v>
      </c>
      <c r="B181">
        <v>33</v>
      </c>
      <c r="C181">
        <v>2023</v>
      </c>
      <c r="D181">
        <v>11936</v>
      </c>
    </row>
    <row r="182" spans="1:4" x14ac:dyDescent="0.25">
      <c r="A182" t="s">
        <v>36</v>
      </c>
      <c r="B182">
        <v>34</v>
      </c>
      <c r="C182">
        <v>2018</v>
      </c>
      <c r="D182">
        <v>101223</v>
      </c>
    </row>
    <row r="183" spans="1:4" x14ac:dyDescent="0.25">
      <c r="A183" t="s">
        <v>36</v>
      </c>
      <c r="B183">
        <v>34</v>
      </c>
      <c r="C183">
        <v>2019</v>
      </c>
      <c r="D183">
        <v>99585</v>
      </c>
    </row>
    <row r="184" spans="1:4" x14ac:dyDescent="0.25">
      <c r="A184" t="s">
        <v>36</v>
      </c>
      <c r="B184">
        <v>34</v>
      </c>
      <c r="C184">
        <v>2020</v>
      </c>
      <c r="D184">
        <v>97954</v>
      </c>
    </row>
    <row r="185" spans="1:4" x14ac:dyDescent="0.25">
      <c r="A185" t="s">
        <v>36</v>
      </c>
      <c r="B185">
        <v>34</v>
      </c>
      <c r="C185">
        <v>2021</v>
      </c>
      <c r="D185">
        <v>101497</v>
      </c>
    </row>
    <row r="186" spans="1:4" x14ac:dyDescent="0.25">
      <c r="A186" t="s">
        <v>36</v>
      </c>
      <c r="B186">
        <v>34</v>
      </c>
      <c r="C186">
        <v>2022</v>
      </c>
      <c r="D186">
        <v>102893</v>
      </c>
    </row>
    <row r="187" spans="1:4" x14ac:dyDescent="0.25">
      <c r="A187" t="s">
        <v>36</v>
      </c>
      <c r="B187">
        <v>34</v>
      </c>
      <c r="C187">
        <v>2023</v>
      </c>
      <c r="D187">
        <v>101001</v>
      </c>
    </row>
    <row r="188" spans="1:4" x14ac:dyDescent="0.25">
      <c r="A188" t="s">
        <v>37</v>
      </c>
      <c r="B188">
        <v>35</v>
      </c>
      <c r="C188">
        <v>2018</v>
      </c>
      <c r="D188">
        <v>23039</v>
      </c>
    </row>
    <row r="189" spans="1:4" x14ac:dyDescent="0.25">
      <c r="A189" t="s">
        <v>37</v>
      </c>
      <c r="B189">
        <v>35</v>
      </c>
      <c r="C189">
        <v>2019</v>
      </c>
      <c r="D189">
        <v>22960</v>
      </c>
    </row>
    <row r="190" spans="1:4" x14ac:dyDescent="0.25">
      <c r="A190" t="s">
        <v>37</v>
      </c>
      <c r="B190">
        <v>35</v>
      </c>
      <c r="C190">
        <v>2020</v>
      </c>
      <c r="D190">
        <v>21903</v>
      </c>
    </row>
    <row r="191" spans="1:4" x14ac:dyDescent="0.25">
      <c r="A191" t="s">
        <v>37</v>
      </c>
      <c r="B191">
        <v>35</v>
      </c>
      <c r="C191">
        <v>2021</v>
      </c>
      <c r="D191">
        <v>21391</v>
      </c>
    </row>
    <row r="192" spans="1:4" x14ac:dyDescent="0.25">
      <c r="A192" t="s">
        <v>37</v>
      </c>
      <c r="B192">
        <v>35</v>
      </c>
      <c r="C192">
        <v>2022</v>
      </c>
      <c r="D192">
        <v>21614</v>
      </c>
    </row>
    <row r="193" spans="1:4" x14ac:dyDescent="0.25">
      <c r="A193" t="s">
        <v>37</v>
      </c>
      <c r="B193">
        <v>35</v>
      </c>
      <c r="C193">
        <v>2023</v>
      </c>
      <c r="D193">
        <v>20951</v>
      </c>
    </row>
    <row r="194" spans="1:4" x14ac:dyDescent="0.25">
      <c r="A194" t="s">
        <v>38</v>
      </c>
      <c r="B194">
        <v>36</v>
      </c>
      <c r="C194">
        <v>2018</v>
      </c>
      <c r="D194">
        <v>226238</v>
      </c>
    </row>
    <row r="195" spans="1:4" x14ac:dyDescent="0.25">
      <c r="A195" t="s">
        <v>38</v>
      </c>
      <c r="B195">
        <v>36</v>
      </c>
      <c r="C195">
        <v>2019</v>
      </c>
      <c r="D195">
        <v>221539</v>
      </c>
    </row>
    <row r="196" spans="1:4" x14ac:dyDescent="0.25">
      <c r="A196" t="s">
        <v>38</v>
      </c>
      <c r="B196">
        <v>36</v>
      </c>
      <c r="C196">
        <v>2020</v>
      </c>
      <c r="D196">
        <v>209338</v>
      </c>
    </row>
    <row r="197" spans="1:4" x14ac:dyDescent="0.25">
      <c r="A197" t="s">
        <v>38</v>
      </c>
      <c r="B197">
        <v>36</v>
      </c>
      <c r="C197">
        <v>2021</v>
      </c>
      <c r="D197">
        <v>210742</v>
      </c>
    </row>
    <row r="198" spans="1:4" x14ac:dyDescent="0.25">
      <c r="A198" t="s">
        <v>38</v>
      </c>
      <c r="B198">
        <v>36</v>
      </c>
      <c r="C198">
        <v>2022</v>
      </c>
      <c r="D198">
        <v>207774</v>
      </c>
    </row>
    <row r="199" spans="1:4" x14ac:dyDescent="0.25">
      <c r="A199" t="s">
        <v>38</v>
      </c>
      <c r="B199">
        <v>36</v>
      </c>
      <c r="C199">
        <v>2023</v>
      </c>
      <c r="D199">
        <v>203612</v>
      </c>
    </row>
    <row r="200" spans="1:4" x14ac:dyDescent="0.25">
      <c r="A200" t="s">
        <v>39</v>
      </c>
      <c r="B200">
        <v>37</v>
      </c>
      <c r="C200">
        <v>2018</v>
      </c>
      <c r="D200">
        <v>118954</v>
      </c>
    </row>
    <row r="201" spans="1:4" x14ac:dyDescent="0.25">
      <c r="A201" t="s">
        <v>39</v>
      </c>
      <c r="B201">
        <v>37</v>
      </c>
      <c r="C201">
        <v>2019</v>
      </c>
      <c r="D201">
        <v>118725</v>
      </c>
    </row>
    <row r="202" spans="1:4" x14ac:dyDescent="0.25">
      <c r="A202" t="s">
        <v>39</v>
      </c>
      <c r="B202">
        <v>37</v>
      </c>
      <c r="C202">
        <v>2020</v>
      </c>
      <c r="D202">
        <v>116730</v>
      </c>
    </row>
    <row r="203" spans="1:4" x14ac:dyDescent="0.25">
      <c r="A203" t="s">
        <v>39</v>
      </c>
      <c r="B203">
        <v>37</v>
      </c>
      <c r="C203">
        <v>2021</v>
      </c>
      <c r="D203">
        <v>120466</v>
      </c>
    </row>
    <row r="204" spans="1:4" x14ac:dyDescent="0.25">
      <c r="A204" t="s">
        <v>39</v>
      </c>
      <c r="B204">
        <v>37</v>
      </c>
      <c r="C204">
        <v>2022</v>
      </c>
      <c r="D204">
        <v>121562</v>
      </c>
    </row>
    <row r="205" spans="1:4" x14ac:dyDescent="0.25">
      <c r="A205" t="s">
        <v>39</v>
      </c>
      <c r="B205">
        <v>37</v>
      </c>
      <c r="C205">
        <v>2023</v>
      </c>
      <c r="D205">
        <v>120082</v>
      </c>
    </row>
    <row r="206" spans="1:4" x14ac:dyDescent="0.25">
      <c r="A206" t="s">
        <v>40</v>
      </c>
      <c r="B206">
        <v>38</v>
      </c>
      <c r="C206">
        <v>2018</v>
      </c>
      <c r="D206">
        <v>10636</v>
      </c>
    </row>
    <row r="207" spans="1:4" x14ac:dyDescent="0.25">
      <c r="A207" t="s">
        <v>40</v>
      </c>
      <c r="B207">
        <v>38</v>
      </c>
      <c r="C207">
        <v>2019</v>
      </c>
      <c r="D207">
        <v>10454</v>
      </c>
    </row>
    <row r="208" spans="1:4" x14ac:dyDescent="0.25">
      <c r="A208" t="s">
        <v>40</v>
      </c>
      <c r="B208">
        <v>38</v>
      </c>
      <c r="C208">
        <v>2020</v>
      </c>
      <c r="D208">
        <v>10059</v>
      </c>
    </row>
    <row r="209" spans="1:4" x14ac:dyDescent="0.25">
      <c r="A209" t="s">
        <v>40</v>
      </c>
      <c r="B209">
        <v>38</v>
      </c>
      <c r="C209">
        <v>2021</v>
      </c>
      <c r="D209">
        <v>10112</v>
      </c>
    </row>
    <row r="210" spans="1:4" x14ac:dyDescent="0.25">
      <c r="A210" t="s">
        <v>40</v>
      </c>
      <c r="B210">
        <v>38</v>
      </c>
      <c r="C210">
        <v>2022</v>
      </c>
      <c r="D210">
        <v>9567</v>
      </c>
    </row>
    <row r="211" spans="1:4" x14ac:dyDescent="0.25">
      <c r="A211" t="s">
        <v>40</v>
      </c>
      <c r="B211">
        <v>38</v>
      </c>
      <c r="C211">
        <v>2023</v>
      </c>
      <c r="D211">
        <v>9647</v>
      </c>
    </row>
    <row r="212" spans="1:4" x14ac:dyDescent="0.25">
      <c r="A212" t="s">
        <v>41</v>
      </c>
      <c r="B212">
        <v>39</v>
      </c>
      <c r="C212">
        <v>2018</v>
      </c>
      <c r="D212">
        <v>135134</v>
      </c>
    </row>
    <row r="213" spans="1:4" x14ac:dyDescent="0.25">
      <c r="A213" t="s">
        <v>41</v>
      </c>
      <c r="B213">
        <v>39</v>
      </c>
      <c r="C213">
        <v>2019</v>
      </c>
      <c r="D213">
        <v>134461</v>
      </c>
    </row>
    <row r="214" spans="1:4" x14ac:dyDescent="0.25">
      <c r="A214" t="s">
        <v>41</v>
      </c>
      <c r="B214">
        <v>39</v>
      </c>
      <c r="C214">
        <v>2020</v>
      </c>
      <c r="D214">
        <v>129191</v>
      </c>
    </row>
    <row r="215" spans="1:4" x14ac:dyDescent="0.25">
      <c r="A215" t="s">
        <v>41</v>
      </c>
      <c r="B215">
        <v>39</v>
      </c>
      <c r="C215">
        <v>2021</v>
      </c>
      <c r="D215">
        <v>129791</v>
      </c>
    </row>
    <row r="216" spans="1:4" x14ac:dyDescent="0.25">
      <c r="A216" t="s">
        <v>41</v>
      </c>
      <c r="B216">
        <v>39</v>
      </c>
      <c r="C216">
        <v>2022</v>
      </c>
      <c r="D216">
        <v>128231</v>
      </c>
    </row>
    <row r="217" spans="1:4" x14ac:dyDescent="0.25">
      <c r="A217" t="s">
        <v>41</v>
      </c>
      <c r="B217">
        <v>39</v>
      </c>
      <c r="C217">
        <v>2023</v>
      </c>
      <c r="D217">
        <v>126896</v>
      </c>
    </row>
    <row r="218" spans="1:4" x14ac:dyDescent="0.25">
      <c r="A218" t="s">
        <v>42</v>
      </c>
      <c r="B218">
        <v>40</v>
      </c>
      <c r="C218">
        <v>2018</v>
      </c>
      <c r="D218">
        <v>49800</v>
      </c>
    </row>
    <row r="219" spans="1:4" x14ac:dyDescent="0.25">
      <c r="A219" t="s">
        <v>42</v>
      </c>
      <c r="B219">
        <v>40</v>
      </c>
      <c r="C219">
        <v>2019</v>
      </c>
      <c r="D219">
        <v>49143</v>
      </c>
    </row>
    <row r="220" spans="1:4" x14ac:dyDescent="0.25">
      <c r="A220" t="s">
        <v>42</v>
      </c>
      <c r="B220">
        <v>40</v>
      </c>
      <c r="C220">
        <v>2020</v>
      </c>
      <c r="D220">
        <v>47623</v>
      </c>
    </row>
    <row r="221" spans="1:4" x14ac:dyDescent="0.25">
      <c r="A221" t="s">
        <v>42</v>
      </c>
      <c r="B221">
        <v>40</v>
      </c>
      <c r="C221">
        <v>2021</v>
      </c>
      <c r="D221">
        <v>48410</v>
      </c>
    </row>
    <row r="222" spans="1:4" x14ac:dyDescent="0.25">
      <c r="A222" t="s">
        <v>42</v>
      </c>
      <c r="B222">
        <v>40</v>
      </c>
      <c r="C222">
        <v>2022</v>
      </c>
      <c r="D222">
        <v>48332</v>
      </c>
    </row>
    <row r="223" spans="1:4" x14ac:dyDescent="0.25">
      <c r="A223" t="s">
        <v>42</v>
      </c>
      <c r="B223">
        <v>40</v>
      </c>
      <c r="C223">
        <v>2023</v>
      </c>
      <c r="D223">
        <v>47909</v>
      </c>
    </row>
    <row r="224" spans="1:4" x14ac:dyDescent="0.25">
      <c r="A224" t="s">
        <v>43</v>
      </c>
      <c r="B224">
        <v>41</v>
      </c>
      <c r="C224">
        <v>2018</v>
      </c>
      <c r="D224">
        <v>42188</v>
      </c>
    </row>
    <row r="225" spans="1:4" x14ac:dyDescent="0.25">
      <c r="A225" t="s">
        <v>43</v>
      </c>
      <c r="B225">
        <v>41</v>
      </c>
      <c r="C225">
        <v>2019</v>
      </c>
      <c r="D225">
        <v>41858</v>
      </c>
    </row>
    <row r="226" spans="1:4" x14ac:dyDescent="0.25">
      <c r="A226" t="s">
        <v>43</v>
      </c>
      <c r="B226">
        <v>41</v>
      </c>
      <c r="C226">
        <v>2020</v>
      </c>
      <c r="D226">
        <v>39820</v>
      </c>
    </row>
    <row r="227" spans="1:4" x14ac:dyDescent="0.25">
      <c r="A227" t="s">
        <v>43</v>
      </c>
      <c r="B227">
        <v>41</v>
      </c>
      <c r="C227">
        <v>2021</v>
      </c>
      <c r="D227">
        <v>40914</v>
      </c>
    </row>
    <row r="228" spans="1:4" x14ac:dyDescent="0.25">
      <c r="A228" t="s">
        <v>43</v>
      </c>
      <c r="B228">
        <v>41</v>
      </c>
      <c r="C228">
        <v>2022</v>
      </c>
      <c r="D228">
        <v>39493</v>
      </c>
    </row>
    <row r="229" spans="1:4" x14ac:dyDescent="0.25">
      <c r="A229" t="s">
        <v>43</v>
      </c>
      <c r="B229">
        <v>41</v>
      </c>
      <c r="C229">
        <v>2023</v>
      </c>
      <c r="D229">
        <v>38298</v>
      </c>
    </row>
    <row r="230" spans="1:4" x14ac:dyDescent="0.25">
      <c r="A230" t="s">
        <v>44</v>
      </c>
      <c r="B230">
        <v>42</v>
      </c>
      <c r="C230">
        <v>2018</v>
      </c>
      <c r="D230">
        <v>135673</v>
      </c>
    </row>
    <row r="231" spans="1:4" x14ac:dyDescent="0.25">
      <c r="A231" t="s">
        <v>44</v>
      </c>
      <c r="B231">
        <v>42</v>
      </c>
      <c r="C231">
        <v>2019</v>
      </c>
      <c r="D231">
        <v>134230</v>
      </c>
    </row>
    <row r="232" spans="1:4" x14ac:dyDescent="0.25">
      <c r="A232" t="s">
        <v>44</v>
      </c>
      <c r="B232">
        <v>42</v>
      </c>
      <c r="C232">
        <v>2020</v>
      </c>
      <c r="D232">
        <v>130693</v>
      </c>
    </row>
    <row r="233" spans="1:4" x14ac:dyDescent="0.25">
      <c r="A233" t="s">
        <v>44</v>
      </c>
      <c r="B233">
        <v>42</v>
      </c>
      <c r="C233">
        <v>2021</v>
      </c>
      <c r="D233">
        <v>132622</v>
      </c>
    </row>
    <row r="234" spans="1:4" x14ac:dyDescent="0.25">
      <c r="A234" t="s">
        <v>44</v>
      </c>
      <c r="B234">
        <v>42</v>
      </c>
      <c r="C234">
        <v>2022</v>
      </c>
      <c r="D234">
        <v>130252</v>
      </c>
    </row>
    <row r="235" spans="1:4" x14ac:dyDescent="0.25">
      <c r="A235" t="s">
        <v>44</v>
      </c>
      <c r="B235">
        <v>42</v>
      </c>
      <c r="C235">
        <v>2023</v>
      </c>
      <c r="D235">
        <v>126951</v>
      </c>
    </row>
    <row r="236" spans="1:4" x14ac:dyDescent="0.25">
      <c r="A236" t="s">
        <v>45</v>
      </c>
      <c r="B236">
        <v>44</v>
      </c>
      <c r="C236">
        <v>2018</v>
      </c>
      <c r="D236">
        <v>10506</v>
      </c>
    </row>
    <row r="237" spans="1:4" x14ac:dyDescent="0.25">
      <c r="A237" t="s">
        <v>45</v>
      </c>
      <c r="B237">
        <v>44</v>
      </c>
      <c r="C237">
        <v>2019</v>
      </c>
      <c r="D237">
        <v>10175</v>
      </c>
    </row>
    <row r="238" spans="1:4" x14ac:dyDescent="0.25">
      <c r="A238" t="s">
        <v>45</v>
      </c>
      <c r="B238">
        <v>44</v>
      </c>
      <c r="C238">
        <v>2020</v>
      </c>
      <c r="D238">
        <v>10101</v>
      </c>
    </row>
    <row r="239" spans="1:4" x14ac:dyDescent="0.25">
      <c r="A239" t="s">
        <v>45</v>
      </c>
      <c r="B239">
        <v>44</v>
      </c>
      <c r="C239">
        <v>2021</v>
      </c>
      <c r="D239">
        <v>10464</v>
      </c>
    </row>
    <row r="240" spans="1:4" x14ac:dyDescent="0.25">
      <c r="A240" t="s">
        <v>45</v>
      </c>
      <c r="B240">
        <v>44</v>
      </c>
      <c r="C240">
        <v>2022</v>
      </c>
      <c r="D240">
        <v>10269</v>
      </c>
    </row>
    <row r="241" spans="1:4" x14ac:dyDescent="0.25">
      <c r="A241" t="s">
        <v>45</v>
      </c>
      <c r="B241">
        <v>44</v>
      </c>
      <c r="C241">
        <v>2023</v>
      </c>
      <c r="D241">
        <v>9805</v>
      </c>
    </row>
    <row r="242" spans="1:4" x14ac:dyDescent="0.25">
      <c r="A242" t="s">
        <v>46</v>
      </c>
      <c r="B242">
        <v>45</v>
      </c>
      <c r="C242">
        <v>2018</v>
      </c>
      <c r="D242">
        <v>56669</v>
      </c>
    </row>
    <row r="243" spans="1:4" x14ac:dyDescent="0.25">
      <c r="A243" t="s">
        <v>46</v>
      </c>
      <c r="B243">
        <v>45</v>
      </c>
      <c r="C243">
        <v>2019</v>
      </c>
      <c r="D243">
        <v>57038</v>
      </c>
    </row>
    <row r="244" spans="1:4" x14ac:dyDescent="0.25">
      <c r="A244" t="s">
        <v>46</v>
      </c>
      <c r="B244">
        <v>45</v>
      </c>
      <c r="C244">
        <v>2020</v>
      </c>
      <c r="D244">
        <v>55704</v>
      </c>
    </row>
    <row r="245" spans="1:4" x14ac:dyDescent="0.25">
      <c r="A245" t="s">
        <v>46</v>
      </c>
      <c r="B245">
        <v>45</v>
      </c>
      <c r="C245">
        <v>2021</v>
      </c>
      <c r="D245">
        <v>57185</v>
      </c>
    </row>
    <row r="246" spans="1:4" x14ac:dyDescent="0.25">
      <c r="A246" t="s">
        <v>46</v>
      </c>
      <c r="B246">
        <v>45</v>
      </c>
      <c r="C246">
        <v>2022</v>
      </c>
      <c r="D246">
        <v>57820</v>
      </c>
    </row>
    <row r="247" spans="1:4" x14ac:dyDescent="0.25">
      <c r="A247" t="s">
        <v>46</v>
      </c>
      <c r="B247">
        <v>45</v>
      </c>
      <c r="C247">
        <v>2023</v>
      </c>
      <c r="D247">
        <v>57729</v>
      </c>
    </row>
    <row r="248" spans="1:4" x14ac:dyDescent="0.25">
      <c r="A248" t="s">
        <v>47</v>
      </c>
      <c r="B248">
        <v>46</v>
      </c>
      <c r="C248">
        <v>2018</v>
      </c>
      <c r="D248">
        <v>11893</v>
      </c>
    </row>
    <row r="249" spans="1:4" x14ac:dyDescent="0.25">
      <c r="A249" t="s">
        <v>47</v>
      </c>
      <c r="B249">
        <v>46</v>
      </c>
      <c r="C249">
        <v>2019</v>
      </c>
      <c r="D249">
        <v>11449</v>
      </c>
    </row>
    <row r="250" spans="1:4" x14ac:dyDescent="0.25">
      <c r="A250" t="s">
        <v>47</v>
      </c>
      <c r="B250">
        <v>46</v>
      </c>
      <c r="C250">
        <v>2020</v>
      </c>
      <c r="D250">
        <v>10960</v>
      </c>
    </row>
    <row r="251" spans="1:4" x14ac:dyDescent="0.25">
      <c r="A251" t="s">
        <v>47</v>
      </c>
      <c r="B251">
        <v>46</v>
      </c>
      <c r="C251">
        <v>2021</v>
      </c>
      <c r="D251">
        <v>11369</v>
      </c>
    </row>
    <row r="252" spans="1:4" x14ac:dyDescent="0.25">
      <c r="A252" t="s">
        <v>47</v>
      </c>
      <c r="B252">
        <v>46</v>
      </c>
      <c r="C252">
        <v>2022</v>
      </c>
      <c r="D252">
        <v>11201</v>
      </c>
    </row>
    <row r="253" spans="1:4" x14ac:dyDescent="0.25">
      <c r="A253" t="s">
        <v>47</v>
      </c>
      <c r="B253">
        <v>46</v>
      </c>
      <c r="C253">
        <v>2023</v>
      </c>
      <c r="D253">
        <v>11201</v>
      </c>
    </row>
    <row r="254" spans="1:4" x14ac:dyDescent="0.25">
      <c r="A254" t="s">
        <v>48</v>
      </c>
      <c r="B254">
        <v>47</v>
      </c>
      <c r="C254">
        <v>2018</v>
      </c>
      <c r="D254">
        <v>80751</v>
      </c>
    </row>
    <row r="255" spans="1:4" x14ac:dyDescent="0.25">
      <c r="A255" t="s">
        <v>48</v>
      </c>
      <c r="B255">
        <v>47</v>
      </c>
      <c r="C255">
        <v>2019</v>
      </c>
      <c r="D255">
        <v>80450</v>
      </c>
    </row>
    <row r="256" spans="1:4" x14ac:dyDescent="0.25">
      <c r="A256" t="s">
        <v>48</v>
      </c>
      <c r="B256">
        <v>47</v>
      </c>
      <c r="C256">
        <v>2020</v>
      </c>
      <c r="D256">
        <v>78689</v>
      </c>
    </row>
    <row r="257" spans="1:4" x14ac:dyDescent="0.25">
      <c r="A257" t="s">
        <v>48</v>
      </c>
      <c r="B257">
        <v>47</v>
      </c>
      <c r="C257">
        <v>2021</v>
      </c>
      <c r="D257">
        <v>81717</v>
      </c>
    </row>
    <row r="258" spans="1:4" x14ac:dyDescent="0.25">
      <c r="A258" t="s">
        <v>48</v>
      </c>
      <c r="B258">
        <v>47</v>
      </c>
      <c r="C258">
        <v>2022</v>
      </c>
      <c r="D258">
        <v>82265</v>
      </c>
    </row>
    <row r="259" spans="1:4" x14ac:dyDescent="0.25">
      <c r="A259" t="s">
        <v>48</v>
      </c>
      <c r="B259">
        <v>47</v>
      </c>
      <c r="C259">
        <v>2023</v>
      </c>
      <c r="D259">
        <v>83021</v>
      </c>
    </row>
    <row r="260" spans="1:4" x14ac:dyDescent="0.25">
      <c r="A260" t="s">
        <v>49</v>
      </c>
      <c r="B260">
        <v>48</v>
      </c>
      <c r="C260">
        <v>2018</v>
      </c>
      <c r="D260">
        <v>378624</v>
      </c>
    </row>
    <row r="261" spans="1:4" x14ac:dyDescent="0.25">
      <c r="A261" t="s">
        <v>49</v>
      </c>
      <c r="B261">
        <v>48</v>
      </c>
      <c r="C261">
        <v>2019</v>
      </c>
      <c r="D261">
        <v>377599</v>
      </c>
    </row>
    <row r="262" spans="1:4" x14ac:dyDescent="0.25">
      <c r="A262" t="s">
        <v>49</v>
      </c>
      <c r="B262">
        <v>48</v>
      </c>
      <c r="C262">
        <v>2020</v>
      </c>
      <c r="D262">
        <v>368190</v>
      </c>
    </row>
    <row r="263" spans="1:4" x14ac:dyDescent="0.25">
      <c r="A263" t="s">
        <v>49</v>
      </c>
      <c r="B263">
        <v>48</v>
      </c>
      <c r="C263">
        <v>2021</v>
      </c>
      <c r="D263">
        <v>373594</v>
      </c>
    </row>
    <row r="264" spans="1:4" x14ac:dyDescent="0.25">
      <c r="A264" t="s">
        <v>49</v>
      </c>
      <c r="B264">
        <v>48</v>
      </c>
      <c r="C264">
        <v>2022</v>
      </c>
      <c r="D264">
        <v>389741</v>
      </c>
    </row>
    <row r="265" spans="1:4" x14ac:dyDescent="0.25">
      <c r="A265" t="s">
        <v>49</v>
      </c>
      <c r="B265">
        <v>48</v>
      </c>
      <c r="C265">
        <v>2023</v>
      </c>
      <c r="D265">
        <v>387945</v>
      </c>
    </row>
    <row r="266" spans="1:4" x14ac:dyDescent="0.25">
      <c r="A266" t="s">
        <v>50</v>
      </c>
      <c r="B266">
        <v>49</v>
      </c>
      <c r="C266">
        <v>2018</v>
      </c>
      <c r="D266">
        <v>47209</v>
      </c>
    </row>
    <row r="267" spans="1:4" x14ac:dyDescent="0.25">
      <c r="A267" t="s">
        <v>50</v>
      </c>
      <c r="B267">
        <v>49</v>
      </c>
      <c r="C267">
        <v>2019</v>
      </c>
      <c r="D267">
        <v>46826</v>
      </c>
    </row>
    <row r="268" spans="1:4" x14ac:dyDescent="0.25">
      <c r="A268" t="s">
        <v>50</v>
      </c>
      <c r="B268">
        <v>49</v>
      </c>
      <c r="C268">
        <v>2020</v>
      </c>
      <c r="D268">
        <v>45702</v>
      </c>
    </row>
    <row r="269" spans="1:4" x14ac:dyDescent="0.25">
      <c r="A269" t="s">
        <v>50</v>
      </c>
      <c r="B269">
        <v>49</v>
      </c>
      <c r="C269">
        <v>2021</v>
      </c>
      <c r="D269">
        <v>46712</v>
      </c>
    </row>
    <row r="270" spans="1:4" x14ac:dyDescent="0.25">
      <c r="A270" t="s">
        <v>50</v>
      </c>
      <c r="B270">
        <v>49</v>
      </c>
      <c r="C270">
        <v>2022</v>
      </c>
      <c r="D270">
        <v>45768</v>
      </c>
    </row>
    <row r="271" spans="1:4" x14ac:dyDescent="0.25">
      <c r="A271" t="s">
        <v>50</v>
      </c>
      <c r="B271">
        <v>49</v>
      </c>
      <c r="C271">
        <v>2023</v>
      </c>
      <c r="D271">
        <v>45019</v>
      </c>
    </row>
    <row r="272" spans="1:4" x14ac:dyDescent="0.25">
      <c r="A272" t="s">
        <v>51</v>
      </c>
      <c r="B272">
        <v>50</v>
      </c>
      <c r="C272">
        <v>2018</v>
      </c>
      <c r="D272">
        <v>5432</v>
      </c>
    </row>
    <row r="273" spans="1:4" x14ac:dyDescent="0.25">
      <c r="A273" t="s">
        <v>51</v>
      </c>
      <c r="B273">
        <v>50</v>
      </c>
      <c r="C273">
        <v>2019</v>
      </c>
      <c r="D273">
        <v>5361</v>
      </c>
    </row>
    <row r="274" spans="1:4" x14ac:dyDescent="0.25">
      <c r="A274" t="s">
        <v>51</v>
      </c>
      <c r="B274">
        <v>50</v>
      </c>
      <c r="C274">
        <v>2020</v>
      </c>
      <c r="D274">
        <v>5133</v>
      </c>
    </row>
    <row r="275" spans="1:4" x14ac:dyDescent="0.25">
      <c r="A275" t="s">
        <v>51</v>
      </c>
      <c r="B275">
        <v>50</v>
      </c>
      <c r="C275">
        <v>2021</v>
      </c>
      <c r="D275">
        <v>5384</v>
      </c>
    </row>
    <row r="276" spans="1:4" x14ac:dyDescent="0.25">
      <c r="A276" t="s">
        <v>51</v>
      </c>
      <c r="B276">
        <v>50</v>
      </c>
      <c r="C276">
        <v>2022</v>
      </c>
      <c r="D276">
        <v>5316</v>
      </c>
    </row>
    <row r="277" spans="1:4" x14ac:dyDescent="0.25">
      <c r="A277" t="s">
        <v>51</v>
      </c>
      <c r="B277">
        <v>50</v>
      </c>
      <c r="C277">
        <v>2023</v>
      </c>
      <c r="D277">
        <v>5065</v>
      </c>
    </row>
    <row r="278" spans="1:4" x14ac:dyDescent="0.25">
      <c r="A278" t="s">
        <v>52</v>
      </c>
      <c r="B278">
        <v>51</v>
      </c>
      <c r="C278">
        <v>2018</v>
      </c>
      <c r="D278">
        <v>99843</v>
      </c>
    </row>
    <row r="279" spans="1:4" x14ac:dyDescent="0.25">
      <c r="A279" t="s">
        <v>52</v>
      </c>
      <c r="B279">
        <v>51</v>
      </c>
      <c r="C279">
        <v>2019</v>
      </c>
      <c r="D279">
        <v>97429</v>
      </c>
    </row>
    <row r="280" spans="1:4" x14ac:dyDescent="0.25">
      <c r="A280" t="s">
        <v>52</v>
      </c>
      <c r="B280">
        <v>51</v>
      </c>
      <c r="C280">
        <v>2020</v>
      </c>
      <c r="D280">
        <v>94749</v>
      </c>
    </row>
    <row r="281" spans="1:4" x14ac:dyDescent="0.25">
      <c r="A281" t="s">
        <v>52</v>
      </c>
      <c r="B281">
        <v>51</v>
      </c>
      <c r="C281">
        <v>2021</v>
      </c>
      <c r="D281">
        <v>95825</v>
      </c>
    </row>
    <row r="282" spans="1:4" x14ac:dyDescent="0.25">
      <c r="A282" t="s">
        <v>52</v>
      </c>
      <c r="B282">
        <v>51</v>
      </c>
      <c r="C282">
        <v>2022</v>
      </c>
      <c r="D282">
        <v>95630</v>
      </c>
    </row>
    <row r="283" spans="1:4" x14ac:dyDescent="0.25">
      <c r="A283" t="s">
        <v>52</v>
      </c>
      <c r="B283">
        <v>51</v>
      </c>
      <c r="C283">
        <v>2023</v>
      </c>
      <c r="D283">
        <v>92649</v>
      </c>
    </row>
    <row r="284" spans="1:4" x14ac:dyDescent="0.25">
      <c r="A284" t="s">
        <v>53</v>
      </c>
      <c r="B284">
        <v>53</v>
      </c>
      <c r="C284">
        <v>2018</v>
      </c>
      <c r="D284">
        <v>86085</v>
      </c>
    </row>
    <row r="285" spans="1:4" x14ac:dyDescent="0.25">
      <c r="A285" t="s">
        <v>53</v>
      </c>
      <c r="B285">
        <v>53</v>
      </c>
      <c r="C285">
        <v>2019</v>
      </c>
      <c r="D285">
        <v>84895</v>
      </c>
    </row>
    <row r="286" spans="1:4" x14ac:dyDescent="0.25">
      <c r="A286" t="s">
        <v>53</v>
      </c>
      <c r="B286">
        <v>53</v>
      </c>
      <c r="C286">
        <v>2020</v>
      </c>
      <c r="D286">
        <v>83086</v>
      </c>
    </row>
    <row r="287" spans="1:4" x14ac:dyDescent="0.25">
      <c r="A287" t="s">
        <v>53</v>
      </c>
      <c r="B287">
        <v>53</v>
      </c>
      <c r="C287">
        <v>2021</v>
      </c>
      <c r="D287">
        <v>83911</v>
      </c>
    </row>
    <row r="288" spans="1:4" x14ac:dyDescent="0.25">
      <c r="A288" t="s">
        <v>53</v>
      </c>
      <c r="B288">
        <v>53</v>
      </c>
      <c r="C288">
        <v>2022</v>
      </c>
      <c r="D288">
        <v>83333</v>
      </c>
    </row>
    <row r="289" spans="1:4" x14ac:dyDescent="0.25">
      <c r="A289" t="s">
        <v>53</v>
      </c>
      <c r="B289">
        <v>53</v>
      </c>
      <c r="C289">
        <v>2023</v>
      </c>
      <c r="D289">
        <v>80932</v>
      </c>
    </row>
    <row r="290" spans="1:4" x14ac:dyDescent="0.25">
      <c r="A290" t="s">
        <v>54</v>
      </c>
      <c r="B290">
        <v>54</v>
      </c>
      <c r="C290">
        <v>2018</v>
      </c>
      <c r="D290">
        <v>18248</v>
      </c>
    </row>
    <row r="291" spans="1:4" x14ac:dyDescent="0.25">
      <c r="A291" t="s">
        <v>54</v>
      </c>
      <c r="B291">
        <v>54</v>
      </c>
      <c r="C291">
        <v>2019</v>
      </c>
      <c r="D291">
        <v>18136</v>
      </c>
    </row>
    <row r="292" spans="1:4" x14ac:dyDescent="0.25">
      <c r="A292" t="s">
        <v>54</v>
      </c>
      <c r="B292">
        <v>54</v>
      </c>
      <c r="C292">
        <v>2020</v>
      </c>
      <c r="D292">
        <v>17323</v>
      </c>
    </row>
    <row r="293" spans="1:4" x14ac:dyDescent="0.25">
      <c r="A293" t="s">
        <v>54</v>
      </c>
      <c r="B293">
        <v>54</v>
      </c>
      <c r="C293">
        <v>2021</v>
      </c>
      <c r="D293">
        <v>17198</v>
      </c>
    </row>
    <row r="294" spans="1:4" x14ac:dyDescent="0.25">
      <c r="A294" t="s">
        <v>54</v>
      </c>
      <c r="B294">
        <v>54</v>
      </c>
      <c r="C294">
        <v>2022</v>
      </c>
      <c r="D294">
        <v>16929</v>
      </c>
    </row>
    <row r="295" spans="1:4" x14ac:dyDescent="0.25">
      <c r="A295" t="s">
        <v>54</v>
      </c>
      <c r="B295">
        <v>54</v>
      </c>
      <c r="C295">
        <v>2023</v>
      </c>
      <c r="D295">
        <v>16606</v>
      </c>
    </row>
    <row r="296" spans="1:4" x14ac:dyDescent="0.25">
      <c r="A296" t="s">
        <v>55</v>
      </c>
      <c r="B296">
        <v>55</v>
      </c>
      <c r="C296">
        <v>2018</v>
      </c>
      <c r="D296">
        <v>64098</v>
      </c>
    </row>
    <row r="297" spans="1:4" x14ac:dyDescent="0.25">
      <c r="A297" t="s">
        <v>55</v>
      </c>
      <c r="B297">
        <v>55</v>
      </c>
      <c r="C297">
        <v>2019</v>
      </c>
      <c r="D297">
        <v>63270</v>
      </c>
    </row>
    <row r="298" spans="1:4" x14ac:dyDescent="0.25">
      <c r="A298" t="s">
        <v>55</v>
      </c>
      <c r="B298">
        <v>55</v>
      </c>
      <c r="C298">
        <v>2020</v>
      </c>
      <c r="D298">
        <v>60594</v>
      </c>
    </row>
    <row r="299" spans="1:4" x14ac:dyDescent="0.25">
      <c r="A299" t="s">
        <v>55</v>
      </c>
      <c r="B299">
        <v>55</v>
      </c>
      <c r="C299">
        <v>2021</v>
      </c>
      <c r="D299">
        <v>61781</v>
      </c>
    </row>
    <row r="300" spans="1:4" x14ac:dyDescent="0.25">
      <c r="A300" t="s">
        <v>55</v>
      </c>
      <c r="B300">
        <v>55</v>
      </c>
      <c r="C300">
        <v>2022</v>
      </c>
      <c r="D300">
        <v>60049</v>
      </c>
    </row>
    <row r="301" spans="1:4" x14ac:dyDescent="0.25">
      <c r="A301" t="s">
        <v>55</v>
      </c>
      <c r="B301">
        <v>55</v>
      </c>
      <c r="C301">
        <v>2023</v>
      </c>
      <c r="D301">
        <v>59754</v>
      </c>
    </row>
    <row r="302" spans="1:4" x14ac:dyDescent="0.25">
      <c r="A302" t="s">
        <v>56</v>
      </c>
      <c r="B302">
        <v>56</v>
      </c>
      <c r="C302">
        <v>2018</v>
      </c>
      <c r="D302">
        <v>6562</v>
      </c>
    </row>
    <row r="303" spans="1:4" x14ac:dyDescent="0.25">
      <c r="A303" t="s">
        <v>56</v>
      </c>
      <c r="B303">
        <v>56</v>
      </c>
      <c r="C303">
        <v>2019</v>
      </c>
      <c r="D303">
        <v>6565</v>
      </c>
    </row>
    <row r="304" spans="1:4" x14ac:dyDescent="0.25">
      <c r="A304" t="s">
        <v>56</v>
      </c>
      <c r="B304">
        <v>56</v>
      </c>
      <c r="C304">
        <v>2020</v>
      </c>
      <c r="D304">
        <v>6128</v>
      </c>
    </row>
    <row r="305" spans="1:4" x14ac:dyDescent="0.25">
      <c r="A305" t="s">
        <v>56</v>
      </c>
      <c r="B305">
        <v>56</v>
      </c>
      <c r="C305">
        <v>2021</v>
      </c>
      <c r="D305">
        <v>6237</v>
      </c>
    </row>
    <row r="306" spans="1:4" x14ac:dyDescent="0.25">
      <c r="A306" t="s">
        <v>56</v>
      </c>
      <c r="B306">
        <v>56</v>
      </c>
      <c r="C306">
        <v>2022</v>
      </c>
      <c r="D306">
        <v>6049</v>
      </c>
    </row>
    <row r="307" spans="1:4" x14ac:dyDescent="0.25">
      <c r="A307" t="s">
        <v>56</v>
      </c>
      <c r="B307">
        <v>56</v>
      </c>
      <c r="C307">
        <v>2023</v>
      </c>
      <c r="D307">
        <v>5990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436B-4916-4A2C-B741-59E014706D9A}">
  <dimension ref="A1:D52"/>
  <sheetViews>
    <sheetView workbookViewId="0">
      <selection activeCell="I6" sqref="I6"/>
    </sheetView>
  </sheetViews>
  <sheetFormatPr defaultRowHeight="15" x14ac:dyDescent="0.25"/>
  <cols>
    <col min="1" max="1" width="14.28515625" customWidth="1"/>
    <col min="3" max="3" width="17.5703125" customWidth="1"/>
  </cols>
  <sheetData>
    <row r="1" spans="1:4" x14ac:dyDescent="0.25">
      <c r="A1" t="s">
        <v>62</v>
      </c>
      <c r="B1" t="s">
        <v>76</v>
      </c>
      <c r="C1" t="s">
        <v>63</v>
      </c>
      <c r="D1" t="s">
        <v>64</v>
      </c>
    </row>
    <row r="2" spans="1:4" x14ac:dyDescent="0.25">
      <c r="A2" t="s">
        <v>4</v>
      </c>
      <c r="B2" s="3">
        <v>1</v>
      </c>
      <c r="C2" s="3">
        <v>52420</v>
      </c>
      <c r="D2" s="3">
        <v>135767</v>
      </c>
    </row>
    <row r="3" spans="1:4" x14ac:dyDescent="0.25">
      <c r="A3" t="s">
        <v>6</v>
      </c>
      <c r="B3" s="3">
        <v>2</v>
      </c>
      <c r="C3" s="3">
        <v>571951</v>
      </c>
      <c r="D3" s="3">
        <v>1481346</v>
      </c>
    </row>
    <row r="4" spans="1:4" x14ac:dyDescent="0.25">
      <c r="A4" t="s">
        <v>8</v>
      </c>
      <c r="B4" s="3">
        <v>4</v>
      </c>
      <c r="C4" s="3">
        <v>113594</v>
      </c>
      <c r="D4" s="3">
        <v>294207</v>
      </c>
    </row>
    <row r="5" spans="1:4" x14ac:dyDescent="0.25">
      <c r="A5" t="s">
        <v>9</v>
      </c>
      <c r="B5" s="3">
        <v>5</v>
      </c>
      <c r="C5" s="3">
        <v>53179</v>
      </c>
      <c r="D5" s="3">
        <v>137733</v>
      </c>
    </row>
    <row r="6" spans="1:4" x14ac:dyDescent="0.25">
      <c r="A6" t="s">
        <v>10</v>
      </c>
      <c r="B6" s="3">
        <v>6</v>
      </c>
      <c r="C6" s="3">
        <v>155779</v>
      </c>
      <c r="D6" s="3">
        <v>403466</v>
      </c>
    </row>
    <row r="7" spans="1:4" x14ac:dyDescent="0.25">
      <c r="A7" t="s">
        <v>11</v>
      </c>
      <c r="B7" s="3">
        <v>8</v>
      </c>
      <c r="C7" s="3">
        <v>103642</v>
      </c>
      <c r="D7" s="3">
        <v>268431</v>
      </c>
    </row>
    <row r="8" spans="1:4" x14ac:dyDescent="0.25">
      <c r="A8" t="s">
        <v>12</v>
      </c>
      <c r="B8" s="3">
        <v>9</v>
      </c>
      <c r="C8" s="3">
        <v>4842</v>
      </c>
      <c r="D8" s="3">
        <v>12543</v>
      </c>
    </row>
    <row r="9" spans="1:4" x14ac:dyDescent="0.25">
      <c r="A9" t="s">
        <v>13</v>
      </c>
      <c r="B9" s="3">
        <v>10</v>
      </c>
      <c r="C9" s="3">
        <v>1949</v>
      </c>
      <c r="D9" s="3">
        <v>5047</v>
      </c>
    </row>
    <row r="10" spans="1:4" x14ac:dyDescent="0.25">
      <c r="A10" t="s">
        <v>65</v>
      </c>
      <c r="B10">
        <v>11</v>
      </c>
      <c r="C10">
        <v>68</v>
      </c>
      <c r="D10">
        <v>176</v>
      </c>
    </row>
    <row r="11" spans="1:4" x14ac:dyDescent="0.25">
      <c r="A11" t="s">
        <v>15</v>
      </c>
      <c r="B11" s="3">
        <v>12</v>
      </c>
      <c r="C11" s="3">
        <v>53625</v>
      </c>
      <c r="D11" s="3">
        <v>138887</v>
      </c>
    </row>
    <row r="12" spans="1:4" x14ac:dyDescent="0.25">
      <c r="A12" t="s">
        <v>16</v>
      </c>
      <c r="B12" s="3">
        <v>13</v>
      </c>
      <c r="C12" s="3">
        <v>57513</v>
      </c>
      <c r="D12" s="3">
        <v>148959</v>
      </c>
    </row>
    <row r="13" spans="1:4" x14ac:dyDescent="0.25">
      <c r="A13" t="s">
        <v>17</v>
      </c>
      <c r="B13" s="3">
        <v>15</v>
      </c>
      <c r="C13" s="3">
        <v>6423</v>
      </c>
      <c r="D13" s="3">
        <v>16639</v>
      </c>
    </row>
    <row r="14" spans="1:4" x14ac:dyDescent="0.25">
      <c r="A14" t="s">
        <v>18</v>
      </c>
      <c r="B14" s="3">
        <v>16</v>
      </c>
      <c r="C14" s="3">
        <v>82643</v>
      </c>
      <c r="D14" s="3">
        <v>214045</v>
      </c>
    </row>
    <row r="15" spans="1:4" x14ac:dyDescent="0.25">
      <c r="A15" t="s">
        <v>19</v>
      </c>
      <c r="B15" s="3">
        <v>17</v>
      </c>
      <c r="C15" s="3">
        <v>55519</v>
      </c>
      <c r="D15" s="3">
        <v>143793</v>
      </c>
    </row>
    <row r="16" spans="1:4" x14ac:dyDescent="0.25">
      <c r="A16" t="s">
        <v>20</v>
      </c>
      <c r="B16" s="3">
        <v>18</v>
      </c>
      <c r="C16" s="3">
        <v>36418</v>
      </c>
      <c r="D16" s="3">
        <v>94321</v>
      </c>
    </row>
    <row r="17" spans="1:4" x14ac:dyDescent="0.25">
      <c r="A17" t="s">
        <v>21</v>
      </c>
      <c r="B17" s="3">
        <v>19</v>
      </c>
      <c r="C17" s="3">
        <v>55857</v>
      </c>
      <c r="D17" s="3">
        <v>144669</v>
      </c>
    </row>
    <row r="18" spans="1:4" x14ac:dyDescent="0.25">
      <c r="A18" t="s">
        <v>22</v>
      </c>
      <c r="B18" s="3">
        <v>20</v>
      </c>
      <c r="C18" s="3">
        <v>81759</v>
      </c>
      <c r="D18" s="3">
        <v>211754</v>
      </c>
    </row>
    <row r="19" spans="1:4" x14ac:dyDescent="0.25">
      <c r="A19" t="s">
        <v>23</v>
      </c>
      <c r="B19" s="3">
        <v>21</v>
      </c>
      <c r="C19" s="3">
        <v>39736</v>
      </c>
      <c r="D19" s="3">
        <v>102937</v>
      </c>
    </row>
    <row r="20" spans="1:4" x14ac:dyDescent="0.25">
      <c r="A20" t="s">
        <v>24</v>
      </c>
      <c r="B20" s="3">
        <v>22</v>
      </c>
      <c r="C20" s="3">
        <v>43204</v>
      </c>
      <c r="D20" s="3">
        <v>111898</v>
      </c>
    </row>
    <row r="21" spans="1:4" x14ac:dyDescent="0.25">
      <c r="A21" t="s">
        <v>25</v>
      </c>
      <c r="B21" s="3">
        <v>23</v>
      </c>
      <c r="C21" s="3">
        <v>30843</v>
      </c>
      <c r="D21" s="3">
        <v>79883</v>
      </c>
    </row>
    <row r="22" spans="1:4" x14ac:dyDescent="0.25">
      <c r="A22" t="s">
        <v>26</v>
      </c>
      <c r="B22" s="3">
        <v>24</v>
      </c>
      <c r="C22" s="3">
        <v>9707</v>
      </c>
      <c r="D22" s="3">
        <v>25133</v>
      </c>
    </row>
    <row r="23" spans="1:4" x14ac:dyDescent="0.25">
      <c r="A23" t="s">
        <v>27</v>
      </c>
      <c r="B23" s="3">
        <v>25</v>
      </c>
      <c r="C23" s="3">
        <v>7800</v>
      </c>
      <c r="D23" s="3">
        <v>20205</v>
      </c>
    </row>
    <row r="24" spans="1:4" x14ac:dyDescent="0.25">
      <c r="A24" t="s">
        <v>28</v>
      </c>
      <c r="B24" s="3">
        <v>26</v>
      </c>
      <c r="C24" s="3">
        <v>56539</v>
      </c>
      <c r="D24" s="3">
        <v>146435</v>
      </c>
    </row>
    <row r="25" spans="1:4" x14ac:dyDescent="0.25">
      <c r="A25" t="s">
        <v>29</v>
      </c>
      <c r="B25" s="3">
        <v>27</v>
      </c>
      <c r="C25" s="3">
        <v>79627</v>
      </c>
      <c r="D25" s="3">
        <v>206350</v>
      </c>
    </row>
    <row r="26" spans="1:4" x14ac:dyDescent="0.25">
      <c r="A26" t="s">
        <v>30</v>
      </c>
      <c r="B26" s="3">
        <v>28</v>
      </c>
      <c r="C26" s="3">
        <v>46923</v>
      </c>
      <c r="D26" s="3">
        <v>121531</v>
      </c>
    </row>
    <row r="27" spans="1:4" x14ac:dyDescent="0.25">
      <c r="A27" t="s">
        <v>31</v>
      </c>
      <c r="B27" s="3">
        <v>29</v>
      </c>
      <c r="C27" s="3">
        <v>68886</v>
      </c>
      <c r="D27" s="3">
        <v>178444</v>
      </c>
    </row>
    <row r="28" spans="1:4" x14ac:dyDescent="0.25">
      <c r="A28" t="s">
        <v>32</v>
      </c>
      <c r="B28" s="3">
        <v>30</v>
      </c>
      <c r="C28" s="3">
        <v>145546</v>
      </c>
      <c r="D28" s="3">
        <v>377173</v>
      </c>
    </row>
    <row r="29" spans="1:4" x14ac:dyDescent="0.25">
      <c r="A29" t="s">
        <v>33</v>
      </c>
      <c r="B29" s="3">
        <v>31</v>
      </c>
      <c r="C29" s="3">
        <v>76824</v>
      </c>
      <c r="D29" s="3">
        <v>199099</v>
      </c>
    </row>
    <row r="30" spans="1:4" x14ac:dyDescent="0.25">
      <c r="A30" t="s">
        <v>34</v>
      </c>
      <c r="B30" s="3">
        <v>32</v>
      </c>
      <c r="C30" s="3">
        <v>109781</v>
      </c>
      <c r="D30" s="3">
        <v>284332</v>
      </c>
    </row>
    <row r="31" spans="1:4" x14ac:dyDescent="0.25">
      <c r="A31" t="s">
        <v>66</v>
      </c>
      <c r="B31" s="3">
        <v>33</v>
      </c>
      <c r="C31" s="3">
        <v>8953</v>
      </c>
      <c r="D31" s="3">
        <v>23191</v>
      </c>
    </row>
    <row r="32" spans="1:4" x14ac:dyDescent="0.25">
      <c r="A32" t="s">
        <v>67</v>
      </c>
      <c r="B32" s="3">
        <v>34</v>
      </c>
      <c r="C32" s="3">
        <v>7354</v>
      </c>
      <c r="D32" s="3">
        <v>19051</v>
      </c>
    </row>
    <row r="33" spans="1:4" x14ac:dyDescent="0.25">
      <c r="A33" t="s">
        <v>68</v>
      </c>
      <c r="B33" s="3">
        <v>35</v>
      </c>
      <c r="C33" s="3">
        <v>121590</v>
      </c>
      <c r="D33" s="3">
        <v>315194</v>
      </c>
    </row>
    <row r="34" spans="1:4" x14ac:dyDescent="0.25">
      <c r="A34" t="s">
        <v>69</v>
      </c>
      <c r="B34" s="3">
        <v>36</v>
      </c>
      <c r="C34" s="3">
        <v>47126</v>
      </c>
      <c r="D34" s="3">
        <v>122057</v>
      </c>
    </row>
    <row r="35" spans="1:4" x14ac:dyDescent="0.25">
      <c r="A35" t="s">
        <v>70</v>
      </c>
      <c r="B35" s="3">
        <v>37</v>
      </c>
      <c r="C35" s="3">
        <v>48618</v>
      </c>
      <c r="D35" s="3">
        <v>125970</v>
      </c>
    </row>
    <row r="36" spans="1:4" x14ac:dyDescent="0.25">
      <c r="A36" t="s">
        <v>71</v>
      </c>
      <c r="B36" s="3">
        <v>38</v>
      </c>
      <c r="C36" s="3">
        <v>69001</v>
      </c>
      <c r="D36" s="3">
        <v>178711</v>
      </c>
    </row>
    <row r="37" spans="1:4" x14ac:dyDescent="0.25">
      <c r="A37" t="s">
        <v>41</v>
      </c>
      <c r="B37" s="3">
        <v>39</v>
      </c>
      <c r="C37" s="3">
        <v>44825</v>
      </c>
      <c r="D37" s="3">
        <v>116098</v>
      </c>
    </row>
    <row r="38" spans="1:4" x14ac:dyDescent="0.25">
      <c r="A38" t="s">
        <v>42</v>
      </c>
      <c r="B38" s="3">
        <v>40</v>
      </c>
      <c r="C38" s="3">
        <v>68595</v>
      </c>
      <c r="D38" s="3">
        <v>177660</v>
      </c>
    </row>
    <row r="39" spans="1:4" x14ac:dyDescent="0.25">
      <c r="A39" t="s">
        <v>43</v>
      </c>
      <c r="B39" s="3">
        <v>41</v>
      </c>
      <c r="C39" s="3">
        <v>95988</v>
      </c>
      <c r="D39" s="3">
        <v>248608</v>
      </c>
    </row>
    <row r="40" spans="1:4" x14ac:dyDescent="0.25">
      <c r="A40" t="s">
        <v>44</v>
      </c>
      <c r="B40" s="3">
        <v>42</v>
      </c>
      <c r="C40" s="3">
        <v>44743</v>
      </c>
      <c r="D40" s="3">
        <v>115883</v>
      </c>
    </row>
    <row r="41" spans="1:4" x14ac:dyDescent="0.25">
      <c r="A41" t="s">
        <v>72</v>
      </c>
      <c r="B41" s="3">
        <v>44</v>
      </c>
      <c r="C41" s="3">
        <v>1034</v>
      </c>
      <c r="D41" s="3">
        <v>2678</v>
      </c>
    </row>
    <row r="42" spans="1:4" x14ac:dyDescent="0.25">
      <c r="A42" t="s">
        <v>73</v>
      </c>
      <c r="B42" s="3">
        <v>45</v>
      </c>
      <c r="C42" s="3">
        <v>30061</v>
      </c>
      <c r="D42" s="3">
        <v>77854</v>
      </c>
    </row>
    <row r="43" spans="1:4" x14ac:dyDescent="0.25">
      <c r="A43" t="s">
        <v>74</v>
      </c>
      <c r="B43" s="3">
        <v>46</v>
      </c>
      <c r="C43" s="3">
        <v>77116</v>
      </c>
      <c r="D43" s="3">
        <v>199729</v>
      </c>
    </row>
    <row r="44" spans="1:4" x14ac:dyDescent="0.25">
      <c r="A44" t="s">
        <v>48</v>
      </c>
      <c r="B44" s="3">
        <v>47</v>
      </c>
      <c r="C44" s="3">
        <v>41217</v>
      </c>
      <c r="D44" s="3">
        <v>106802</v>
      </c>
    </row>
    <row r="45" spans="1:4" x14ac:dyDescent="0.25">
      <c r="A45" t="s">
        <v>49</v>
      </c>
      <c r="B45" s="3">
        <v>48</v>
      </c>
      <c r="C45" s="3">
        <v>261232</v>
      </c>
      <c r="D45" s="3">
        <v>676587</v>
      </c>
    </row>
    <row r="46" spans="1:4" x14ac:dyDescent="0.25">
      <c r="A46" t="s">
        <v>50</v>
      </c>
      <c r="B46" s="3">
        <v>49</v>
      </c>
      <c r="C46" s="3">
        <v>84899</v>
      </c>
      <c r="D46" s="3">
        <v>219882</v>
      </c>
    </row>
    <row r="47" spans="1:4" x14ac:dyDescent="0.25">
      <c r="A47" t="s">
        <v>51</v>
      </c>
      <c r="B47" s="3">
        <v>50</v>
      </c>
      <c r="C47" s="3">
        <v>9616</v>
      </c>
      <c r="D47" s="3">
        <v>24923</v>
      </c>
    </row>
    <row r="48" spans="1:4" x14ac:dyDescent="0.25">
      <c r="A48" t="s">
        <v>52</v>
      </c>
      <c r="B48" s="3">
        <v>51</v>
      </c>
      <c r="C48" s="3">
        <v>39490</v>
      </c>
      <c r="D48" s="3">
        <v>102279</v>
      </c>
    </row>
    <row r="49" spans="1:4" x14ac:dyDescent="0.25">
      <c r="A49" t="s">
        <v>53</v>
      </c>
      <c r="B49" s="3">
        <v>53</v>
      </c>
      <c r="C49" s="3">
        <v>66544</v>
      </c>
      <c r="D49" s="3">
        <v>172340</v>
      </c>
    </row>
    <row r="50" spans="1:4" x14ac:dyDescent="0.25">
      <c r="A50" t="s">
        <v>75</v>
      </c>
      <c r="B50" s="3">
        <v>54</v>
      </c>
      <c r="C50" s="3">
        <v>24038</v>
      </c>
      <c r="D50" s="3">
        <v>62259</v>
      </c>
    </row>
    <row r="51" spans="1:4" x14ac:dyDescent="0.25">
      <c r="A51" t="s">
        <v>55</v>
      </c>
      <c r="B51" s="3">
        <v>55</v>
      </c>
      <c r="C51" s="3">
        <v>54158</v>
      </c>
      <c r="D51" s="3">
        <v>140277</v>
      </c>
    </row>
    <row r="52" spans="1:4" x14ac:dyDescent="0.25">
      <c r="A52" t="s">
        <v>56</v>
      </c>
      <c r="B52" s="3">
        <v>56</v>
      </c>
      <c r="C52" s="3">
        <v>97093</v>
      </c>
      <c r="D52" s="3">
        <v>251470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Maternal Mortality for Aug Data</vt:lpstr>
      <vt:lpstr>Maternal Deaths 2018-2023</vt:lpstr>
      <vt:lpstr>Births 2018-2023</vt:lpstr>
      <vt:lpstr>Land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Elizabeth Meehan</cp:lastModifiedBy>
  <dcterms:created xsi:type="dcterms:W3CDTF">2025-08-30T17:44:21Z</dcterms:created>
  <dcterms:modified xsi:type="dcterms:W3CDTF">2025-10-16T03:12:54Z</dcterms:modified>
</cp:coreProperties>
</file>